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55359\Dropbox\PC\Desktop\"/>
    </mc:Choice>
  </mc:AlternateContent>
  <xr:revisionPtr revIDLastSave="0" documentId="13_ncr:1_{79FDF1DA-C950-4E9E-A428-E511C0EBB2C1}" xr6:coauthVersionLast="47" xr6:coauthVersionMax="47" xr10:uidLastSave="{00000000-0000-0000-0000-000000000000}"/>
  <bookViews>
    <workbookView xWindow="-108" yWindow="-108" windowWidth="23256" windowHeight="12456" activeTab="2" xr2:uid="{6BF4A5EC-5260-4D8D-BB2F-D239D7E2FB7B}"/>
  </bookViews>
  <sheets>
    <sheet name="STP-20250718085233094" sheetId="1" r:id="rId1"/>
    <sheet name="DADOS" sheetId="3" r:id="rId2"/>
    <sheet name="Dashboard" sheetId="2" r:id="rId3"/>
  </sheets>
  <definedNames>
    <definedName name="_xlpm.REF" hidden="1" xlm="1">#NAME?</definedName>
    <definedName name="_xlpm.REF_" hidden="1" xlm="1">#NAME?</definedName>
    <definedName name="_xlpm.REF_A" hidden="1" xlm="1">#NAME?</definedName>
    <definedName name="_xlpm.REF_AN" hidden="1" xlm="1">#NAME?</definedName>
    <definedName name="_xlpm.REF_ANO" hidden="1" xlm="1">#NAME?</definedName>
    <definedName name="ANO_REF">Dashboard!$X$58</definedName>
    <definedName name="ANOS">'STP-20250718085233094'!#REF!</definedName>
    <definedName name="Column1">'STP-20250718085233094'!#REF!</definedName>
    <definedName name="Column2">'STP-20250718085233094'!#REF!</definedName>
    <definedName name="REF">'STP-20250718085233094'!$A$3:$A$68</definedName>
    <definedName name="REF_ANO">'STP-20250718085233094'!$D$3:$D$68</definedName>
    <definedName name="SELIC_A.A">'STP-20250718085233094'!$B$3:$B$68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3" l="1"/>
  <c r="L10" i="3"/>
  <c r="B10" i="3"/>
  <c r="U86" i="2" a="1"/>
  <c r="U86" i="2" s="1"/>
  <c r="O119" i="2"/>
  <c r="O118" i="2"/>
  <c r="O117" i="2"/>
  <c r="B23" i="3"/>
  <c r="B24" i="3"/>
  <c r="B25" i="3"/>
  <c r="B26" i="3"/>
  <c r="B27" i="3"/>
  <c r="B22" i="3"/>
  <c r="L4" i="3"/>
  <c r="L5" i="3"/>
  <c r="L6" i="3"/>
  <c r="M6" i="3" s="1"/>
  <c r="L7" i="3"/>
  <c r="L8" i="3"/>
  <c r="L9" i="3"/>
  <c r="N3" i="1"/>
  <c r="N4" i="1"/>
  <c r="P4" i="1"/>
  <c r="N5" i="1"/>
  <c r="P5" i="1"/>
  <c r="N6" i="1"/>
  <c r="P6" i="1"/>
  <c r="N7" i="1"/>
  <c r="P7" i="1"/>
  <c r="N8" i="1"/>
  <c r="P8" i="1"/>
  <c r="N9" i="1"/>
  <c r="P9" i="1"/>
  <c r="N10" i="1"/>
  <c r="P10" i="1"/>
  <c r="N11" i="1"/>
  <c r="P11" i="1"/>
  <c r="N12" i="1"/>
  <c r="P12" i="1"/>
  <c r="N13" i="1"/>
  <c r="P13" i="1"/>
  <c r="N14" i="1"/>
  <c r="P14" i="1"/>
  <c r="N15" i="1"/>
  <c r="P15" i="1"/>
  <c r="N16" i="1"/>
  <c r="P16" i="1"/>
  <c r="N17" i="1"/>
  <c r="P17" i="1"/>
  <c r="N18" i="1"/>
  <c r="P18" i="1"/>
  <c r="N19" i="1"/>
  <c r="P19" i="1"/>
  <c r="N20" i="1"/>
  <c r="P20" i="1"/>
  <c r="N21" i="1"/>
  <c r="P21" i="1"/>
  <c r="N22" i="1"/>
  <c r="P22" i="1"/>
  <c r="N23" i="1"/>
  <c r="P23" i="1"/>
  <c r="N24" i="1"/>
  <c r="P24" i="1"/>
  <c r="N25" i="1"/>
  <c r="P25" i="1"/>
  <c r="N26" i="1"/>
  <c r="P26" i="1"/>
  <c r="N27" i="1"/>
  <c r="P27" i="1"/>
  <c r="N28" i="1"/>
  <c r="P28" i="1"/>
  <c r="N29" i="1"/>
  <c r="P29" i="1"/>
  <c r="N30" i="1"/>
  <c r="P30" i="1"/>
  <c r="N31" i="1"/>
  <c r="P31" i="1"/>
  <c r="N32" i="1"/>
  <c r="P32" i="1"/>
  <c r="N33" i="1"/>
  <c r="P33" i="1"/>
  <c r="N34" i="1"/>
  <c r="P34" i="1"/>
  <c r="N35" i="1"/>
  <c r="P35" i="1"/>
  <c r="N36" i="1"/>
  <c r="P36" i="1"/>
  <c r="N37" i="1"/>
  <c r="P37" i="1"/>
  <c r="N38" i="1"/>
  <c r="P38" i="1"/>
  <c r="N39" i="1"/>
  <c r="P39" i="1"/>
  <c r="N40" i="1"/>
  <c r="P40" i="1"/>
  <c r="N41" i="1"/>
  <c r="P41" i="1"/>
  <c r="N42" i="1"/>
  <c r="P42" i="1"/>
  <c r="N43" i="1"/>
  <c r="P43" i="1"/>
  <c r="N44" i="1"/>
  <c r="P44" i="1"/>
  <c r="N45" i="1"/>
  <c r="P45" i="1"/>
  <c r="N46" i="1"/>
  <c r="P46" i="1"/>
  <c r="N47" i="1"/>
  <c r="P47" i="1"/>
  <c r="N48" i="1"/>
  <c r="P48" i="1"/>
  <c r="N49" i="1"/>
  <c r="P49" i="1"/>
  <c r="N50" i="1"/>
  <c r="P50" i="1"/>
  <c r="N51" i="1"/>
  <c r="P51" i="1"/>
  <c r="N52" i="1"/>
  <c r="P52" i="1"/>
  <c r="N53" i="1"/>
  <c r="P53" i="1"/>
  <c r="N54" i="1"/>
  <c r="P54" i="1"/>
  <c r="N55" i="1"/>
  <c r="P55" i="1"/>
  <c r="N56" i="1"/>
  <c r="P56" i="1"/>
  <c r="N57" i="1"/>
  <c r="P57" i="1"/>
  <c r="N58" i="1"/>
  <c r="P58" i="1"/>
  <c r="N59" i="1"/>
  <c r="P59" i="1"/>
  <c r="N60" i="1"/>
  <c r="P60" i="1"/>
  <c r="N61" i="1"/>
  <c r="P61" i="1"/>
  <c r="N62" i="1"/>
  <c r="P62" i="1"/>
  <c r="N63" i="1"/>
  <c r="P63" i="1"/>
  <c r="N64" i="1"/>
  <c r="P64" i="1"/>
  <c r="N65" i="1"/>
  <c r="P65" i="1"/>
  <c r="N66" i="1"/>
  <c r="P66" i="1"/>
  <c r="N67" i="1"/>
  <c r="P67" i="1"/>
  <c r="N68" i="1"/>
  <c r="P68" i="1"/>
  <c r="B1" i="3"/>
  <c r="Y17" i="2" s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3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4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3" i="1"/>
  <c r="M9" i="3" l="1"/>
  <c r="B5" i="3"/>
  <c r="M7" i="3"/>
  <c r="B4" i="3"/>
  <c r="B9" i="3"/>
  <c r="B8" i="3"/>
  <c r="B7" i="3"/>
  <c r="B6" i="3"/>
  <c r="BC2" i="2"/>
  <c r="AH2" i="2"/>
  <c r="M8" i="3"/>
  <c r="M5" i="3"/>
  <c r="O4" i="3" a="1"/>
  <c r="AH1" i="2"/>
  <c r="E22" i="3" a="1"/>
  <c r="O4" i="3" l="1"/>
  <c r="P16" i="3"/>
  <c r="E22" i="3"/>
  <c r="F34" i="3"/>
  <c r="C26" i="3"/>
  <c r="C27" i="3"/>
  <c r="C23" i="3"/>
  <c r="C24" i="3"/>
  <c r="C25" i="3"/>
  <c r="C5" i="3"/>
  <c r="E5" i="3" a="1"/>
  <c r="C6" i="3"/>
  <c r="C8" i="3"/>
  <c r="C9" i="3"/>
  <c r="C7" i="3"/>
  <c r="F17" i="3" l="1"/>
  <c r="G17" i="3"/>
  <c r="E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293FCC-B6CF-47E0-A48A-9266BF912112}" keepAlive="1" name="Query - tblCambio" description="Connection to the 'tblCambio' query in the workbook." type="5" refreshedVersion="0" background="1">
    <dbPr connection="Provider=Microsoft.Mashup.OleDb.1;Data Source=$Workbook$;Location=tblCambio;Extended Properties=&quot;&quot;" command="SELECT * FROM [tblCambio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<sst xmlns="http://schemas.openxmlformats.org/spreadsheetml/2006/main" count="71" uniqueCount="40">
  <si>
    <t>REF</t>
  </si>
  <si>
    <t>SELIC A.A</t>
  </si>
  <si>
    <t>ANO BASE</t>
  </si>
  <si>
    <t/>
  </si>
  <si>
    <t>SELIC</t>
  </si>
  <si>
    <t>VARIACAO</t>
  </si>
  <si>
    <t>ANUAL</t>
  </si>
  <si>
    <t>IPCA</t>
  </si>
  <si>
    <t>VARIATION</t>
  </si>
  <si>
    <t>MONTH</t>
  </si>
  <si>
    <t>YEAR</t>
  </si>
  <si>
    <t>AVERAGE SELIC</t>
  </si>
  <si>
    <t>SELIC RATE</t>
  </si>
  <si>
    <t>CAMBIO</t>
  </si>
  <si>
    <t>Average exchange</t>
  </si>
  <si>
    <t>REF YEAR</t>
  </si>
  <si>
    <t>VARIATON</t>
  </si>
  <si>
    <t>AVERAGE EXCHANGE</t>
  </si>
  <si>
    <t>DOLAR EXCHANGE</t>
  </si>
  <si>
    <t>TAXA</t>
  </si>
  <si>
    <t>IPCA TAX</t>
  </si>
  <si>
    <t>AVERAGE IPCA TAX</t>
  </si>
  <si>
    <t>1-The Selic rate hits its all-time low to boost economic activity</t>
  </si>
  <si>
    <t>2-Credit becomes significantly more affordable</t>
  </si>
  <si>
    <t>3- The opportunity cost of taking credit was lower than the economic risk of the pandemic</t>
  </si>
  <si>
    <t>1- The increase of the Selic Rate hike by COPOM led to a decrease in the IPCA.</t>
  </si>
  <si>
    <t>2 - BACEN gradually started lowering Selic rate to stimulate controlled economic growth</t>
  </si>
  <si>
    <t xml:space="preserve">3 - A new tax policity announced by the government created uncertainty among investors about investing in Brazil </t>
  </si>
  <si>
    <t>1- Investors started selling Brazillian real assets to buy Dollar,  causing the dollar price rise</t>
  </si>
  <si>
    <t>2-The increased supply of Brazillian reais from investors selling led to a new rise of IPCA.</t>
  </si>
  <si>
    <t>3-BACEN had to rise Selic again to not only keep the country attractive to investors but also control the new surge in inflation/IPCA</t>
  </si>
  <si>
    <t>Inflation increase (2021 to 2023)</t>
  </si>
  <si>
    <t>Taking back control - normalizing taxes (2023 to early 2024)</t>
  </si>
  <si>
    <t>Credit Lending (2020)</t>
  </si>
  <si>
    <t>Investors uncertainty (late 2024 to present day)</t>
  </si>
  <si>
    <t>3-Central Bank of Brazil raised Selic rate again to cool the economic activy and push prices down</t>
  </si>
  <si>
    <t>1- The low selic rate led to a higher amount of Brazillian reais avaliable through credit.</t>
  </si>
  <si>
    <t>2- The increase in money supply contributed to a rise in the IPCA, reducing the value of the real.</t>
  </si>
  <si>
    <t>AVERAGE: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</si>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</sst>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416]mmm\-yy;@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2" tint="-0.89999084444715716"/>
      <name val="Aptos Narrow"/>
      <family val="2"/>
      <scheme val="minor"/>
    </font>
    <font>
      <sz val="11"/>
      <color theme="1" tint="4.9989318521683403E-2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</cellStyleXfs>
  <cellXfs count="33">
    <xf numFmtId="0" fontId="0" fillId="0" borderId="0" xfId="0"/>
    <xf numFmtId="17" fontId="0" fillId="0" borderId="0" xfId="0" applyNumberFormat="1"/>
    <xf numFmtId="10" fontId="0" fillId="0" borderId="0" xfId="0" applyNumberFormat="1"/>
    <xf numFmtId="0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/>
    <xf numFmtId="0" fontId="0" fillId="33" borderId="0" xfId="0" applyFill="1"/>
    <xf numFmtId="0" fontId="17" fillId="33" borderId="0" xfId="0" applyFont="1" applyFill="1"/>
    <xf numFmtId="0" fontId="18" fillId="33" borderId="0" xfId="0" applyFont="1" applyFill="1"/>
    <xf numFmtId="2" fontId="0" fillId="0" borderId="0" xfId="0" applyNumberFormat="1"/>
    <xf numFmtId="9" fontId="0" fillId="0" borderId="0" xfId="1" applyFont="1"/>
    <xf numFmtId="2" fontId="0" fillId="0" borderId="0" xfId="1" applyNumberFormat="1" applyFont="1"/>
    <xf numFmtId="0" fontId="0" fillId="0" borderId="0" xfId="0" applyAlignment="1"/>
    <xf numFmtId="14" fontId="0" fillId="0" borderId="0" xfId="0" applyNumberFormat="1"/>
    <xf numFmtId="0" fontId="0" fillId="0" borderId="0" xfId="0" applyFont="1" applyFill="1" applyBorder="1"/>
    <xf numFmtId="2" fontId="0" fillId="0" borderId="0" xfId="0" applyNumberFormat="1" applyFont="1" applyFill="1" applyBorder="1"/>
    <xf numFmtId="0" fontId="18" fillId="0" borderId="0" xfId="0" applyFont="1" applyFill="1" applyBorder="1"/>
    <xf numFmtId="164" fontId="0" fillId="0" borderId="0" xfId="0" applyNumberFormat="1" applyFont="1" applyFill="1" applyBorder="1"/>
    <xf numFmtId="0" fontId="0" fillId="34" borderId="0" xfId="0" applyFill="1" applyAlignment="1">
      <alignment horizontal="center"/>
    </xf>
    <xf numFmtId="0" fontId="0" fillId="34" borderId="0" xfId="0" applyFill="1" applyAlignment="1"/>
    <xf numFmtId="44" fontId="0" fillId="0" borderId="0" xfId="43" applyFont="1"/>
    <xf numFmtId="17" fontId="0" fillId="0" borderId="0" xfId="0" applyNumberFormat="1" applyFill="1" applyAlignment="1">
      <alignment horizontal="right"/>
    </xf>
    <xf numFmtId="0" fontId="0" fillId="0" borderId="0" xfId="0" applyFill="1" applyAlignment="1">
      <alignment horizontal="right"/>
    </xf>
    <xf numFmtId="9" fontId="0" fillId="0" borderId="0" xfId="1" applyFont="1" applyFill="1"/>
    <xf numFmtId="2" fontId="0" fillId="0" borderId="0" xfId="1" applyNumberFormat="1" applyFont="1" applyFill="1"/>
    <xf numFmtId="10" fontId="0" fillId="0" borderId="0" xfId="1" applyNumberFormat="1" applyFont="1"/>
    <xf numFmtId="9" fontId="0" fillId="0" borderId="0" xfId="1" applyNumberFormat="1" applyFont="1"/>
    <xf numFmtId="0" fontId="0" fillId="34" borderId="0" xfId="0" applyFill="1" applyAlignment="1">
      <alignment horizontal="center"/>
    </xf>
    <xf numFmtId="0" fontId="0" fillId="0" borderId="0" xfId="0" applyAlignment="1">
      <alignment horizontal="center"/>
    </xf>
    <xf numFmtId="0" fontId="19" fillId="33" borderId="0" xfId="0" applyFont="1" applyFill="1"/>
    <xf numFmtId="0" fontId="18" fillId="33" borderId="0" xfId="0" quotePrefix="1" applyFont="1" applyFill="1"/>
    <xf numFmtId="9" fontId="0" fillId="0" borderId="0" xfId="0" applyNumberFormat="1" applyFill="1"/>
    <xf numFmtId="44" fontId="0" fillId="0" borderId="0" xfId="0" applyNumberFormat="1"/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43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B0F0"/>
                </a:solidFill>
              </a:rPr>
              <a:t>IPCA</a:t>
            </a:r>
            <a:r>
              <a:rPr lang="en-US" baseline="0">
                <a:solidFill>
                  <a:srgbClr val="00B0F0"/>
                </a:solidFill>
              </a:rPr>
              <a:t> VARIATION OVER TIME</a:t>
            </a:r>
            <a:endParaRPr lang="en-US">
              <a:solidFill>
                <a:srgbClr val="00B0F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DADOS!$B$21</c:f>
              <c:strCache>
                <c:ptCount val="1"/>
                <c:pt idx="0">
                  <c:v>AVERAGE IPCA TAX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DADOS!$A$22:$A$27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DADOS!$B$22:$B$27</c:f>
              <c:numCache>
                <c:formatCode>0.00</c:formatCode>
                <c:ptCount val="6"/>
                <c:pt idx="0">
                  <c:v>0.36999999999999994</c:v>
                </c:pt>
                <c:pt idx="1">
                  <c:v>0.8025000000000001</c:v>
                </c:pt>
                <c:pt idx="2">
                  <c:v>0.47166666666666668</c:v>
                </c:pt>
                <c:pt idx="3">
                  <c:v>0.37750000000000011</c:v>
                </c:pt>
                <c:pt idx="4">
                  <c:v>0.39416666666666672</c:v>
                </c:pt>
                <c:pt idx="5">
                  <c:v>0.49333333333333346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F7-48CD-87F6-9135D998E84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277309904"/>
        <c:axId val="277308464"/>
      </c:barChart>
      <c:lineChart>
        <c:grouping val="standard"/>
        <c:varyColors val="0"/>
        <c:ser>
          <c:idx val="1"/>
          <c:order val="1"/>
          <c:tx>
            <c:strRef>
              <c:f>DADOS!$C$21</c:f>
              <c:strCache>
                <c:ptCount val="1"/>
                <c:pt idx="0">
                  <c:v>VARIATION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noFill/>
              </a:ln>
              <a:effectLst/>
            </c:spPr>
          </c:marker>
          <c:dLbls>
            <c:delete val="1"/>
          </c:dLbls>
          <c:val>
            <c:numRef>
              <c:f>DADOS!$C$22:$C$27</c:f>
              <c:numCache>
                <c:formatCode>0.00</c:formatCode>
                <c:ptCount val="6"/>
                <c:pt idx="0">
                  <c:v>0</c:v>
                </c:pt>
                <c:pt idx="1">
                  <c:v>0.43250000000000016</c:v>
                </c:pt>
                <c:pt idx="2">
                  <c:v>-0.33083333333333342</c:v>
                </c:pt>
                <c:pt idx="3">
                  <c:v>-9.4166666666666565E-2</c:v>
                </c:pt>
                <c:pt idx="4">
                  <c:v>1.6666666666666607E-2</c:v>
                </c:pt>
                <c:pt idx="5">
                  <c:v>9.9166666666666736E-2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7-48CD-87F6-9135D998E84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52963528"/>
        <c:axId val="452963168"/>
      </c:lineChart>
      <c:catAx>
        <c:axId val="27730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308464"/>
        <c:crosses val="autoZero"/>
        <c:auto val="1"/>
        <c:lblAlgn val="ctr"/>
        <c:lblOffset val="100"/>
        <c:noMultiLvlLbl val="0"/>
      </c:catAx>
      <c:valAx>
        <c:axId val="277308464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7309904"/>
        <c:crosses val="autoZero"/>
        <c:crossBetween val="between"/>
      </c:valAx>
      <c:valAx>
        <c:axId val="45296316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963528"/>
        <c:crosses val="max"/>
        <c:crossBetween val="between"/>
      </c:valAx>
      <c:catAx>
        <c:axId val="452963528"/>
        <c:scaling>
          <c:orientation val="minMax"/>
        </c:scaling>
        <c:delete val="1"/>
        <c:axPos val="b"/>
        <c:majorTickMark val="out"/>
        <c:minorTickMark val="none"/>
        <c:tickLblPos val="nextTo"/>
        <c:crossAx val="4529631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B0F0"/>
                </a:solidFill>
              </a:rPr>
              <a:t>DOLAR</a:t>
            </a:r>
            <a:r>
              <a:rPr lang="en-US" baseline="0">
                <a:solidFill>
                  <a:srgbClr val="00B0F0"/>
                </a:solidFill>
              </a:rPr>
              <a:t> EXCHANGE VARIATION</a:t>
            </a:r>
            <a:endParaRPr lang="en-US">
              <a:solidFill>
                <a:srgbClr val="00B0F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DADOS!$L$3</c:f>
              <c:strCache>
                <c:ptCount val="1"/>
                <c:pt idx="0">
                  <c:v>AVERAGE EXCHANGE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-5.0925337632079971E-17"/>
                  <c:y val="-8.7962962962963007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64-4B56-8A5F-905F2ACD09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DADOS!$K$4:$K$9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DADOS!$L$4:$L$9</c:f>
              <c:numCache>
                <c:formatCode>_("R$"* #,##0.00_);_("R$"* \(#,##0.00\);_("R$"* "-"??_);_(@_)</c:formatCode>
                <c:ptCount val="6"/>
                <c:pt idx="0">
                  <c:v>5.1558397070602506</c:v>
                </c:pt>
                <c:pt idx="1">
                  <c:v>5.3950273902586945</c:v>
                </c:pt>
                <c:pt idx="2">
                  <c:v>5.1647531822391954</c:v>
                </c:pt>
                <c:pt idx="3">
                  <c:v>4.9949802174174449</c:v>
                </c:pt>
                <c:pt idx="4">
                  <c:v>5.3895384410631317</c:v>
                </c:pt>
                <c:pt idx="5">
                  <c:v>5.7553906613123713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64-4B56-8A5F-905F2ACD0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57597984"/>
        <c:axId val="1197978816"/>
      </c:barChart>
      <c:lineChart>
        <c:grouping val="standard"/>
        <c:varyColors val="0"/>
        <c:ser>
          <c:idx val="1"/>
          <c:order val="1"/>
          <c:tx>
            <c:strRef>
              <c:f>DADOS!$M$3</c:f>
              <c:strCache>
                <c:ptCount val="1"/>
                <c:pt idx="0">
                  <c:v>VARIATION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DADOS!$K$4:$K$9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DADOS!$M$4:$M$9</c:f>
              <c:numCache>
                <c:formatCode>_("R$"* #,##0.00_);_("R$"* \(#,##0.00\);_("R$"* "-"??_);_(@_)</c:formatCode>
                <c:ptCount val="6"/>
                <c:pt idx="0">
                  <c:v>0</c:v>
                </c:pt>
                <c:pt idx="1">
                  <c:v>0.23918768319844386</c:v>
                </c:pt>
                <c:pt idx="2">
                  <c:v>-0.23027420801949905</c:v>
                </c:pt>
                <c:pt idx="3">
                  <c:v>-0.16977296482175053</c:v>
                </c:pt>
                <c:pt idx="4">
                  <c:v>0.39455822364568682</c:v>
                </c:pt>
                <c:pt idx="5">
                  <c:v>0.36585222024923958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64-4B56-8A5F-905F2ACD0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8825072"/>
        <c:axId val="1198824712"/>
      </c:lineChart>
      <c:catAx>
        <c:axId val="45759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7978816"/>
        <c:crosses val="autoZero"/>
        <c:auto val="1"/>
        <c:lblAlgn val="ctr"/>
        <c:lblOffset val="100"/>
        <c:noMultiLvlLbl val="0"/>
      </c:catAx>
      <c:valAx>
        <c:axId val="1197978816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7597984"/>
        <c:crosses val="autoZero"/>
        <c:crossBetween val="between"/>
      </c:valAx>
      <c:valAx>
        <c:axId val="1198824712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825072"/>
        <c:crosses val="max"/>
        <c:crossBetween val="between"/>
      </c:valAx>
      <c:catAx>
        <c:axId val="1198825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8824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00B0F0"/>
                </a:solidFill>
              </a:rPr>
              <a:t>SELIC EVOLUTION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DADOS!$B$3</c:f>
              <c:strCache>
                <c:ptCount val="1"/>
                <c:pt idx="0">
                  <c:v>AVERAGE SELIC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2"/>
              <c:layout>
                <c:manualLayout>
                  <c:x val="1.3888888888888888E-2"/>
                  <c:y val="-5.555555555555553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7B-4483-8685-17FAE050B2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DADOS!$A$4:$A$9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DADOS!$B$4:$B$9</c:f>
              <c:numCache>
                <c:formatCode>0%</c:formatCode>
                <c:ptCount val="6"/>
                <c:pt idx="0">
                  <c:v>2.891159158333334E-2</c:v>
                </c:pt>
                <c:pt idx="1">
                  <c:v>4.5218189964166662E-2</c:v>
                </c:pt>
                <c:pt idx="2">
                  <c:v>0.12537442395833331</c:v>
                </c:pt>
                <c:pt idx="3">
                  <c:v>0.13299327956666665</c:v>
                </c:pt>
                <c:pt idx="4">
                  <c:v>0.10940188172499998</c:v>
                </c:pt>
                <c:pt idx="5">
                  <c:v>0.13823118278333332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7B-4483-8685-17FAE050B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98828672"/>
        <c:axId val="1198821832"/>
      </c:barChart>
      <c:lineChart>
        <c:grouping val="standard"/>
        <c:varyColors val="0"/>
        <c:ser>
          <c:idx val="1"/>
          <c:order val="1"/>
          <c:tx>
            <c:strRef>
              <c:f>DADOS!$C$3</c:f>
              <c:strCache>
                <c:ptCount val="1"/>
                <c:pt idx="0">
                  <c:v>VARIATION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DADOS!$A$4:$A$9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DADOS!$C$4:$C$9</c:f>
              <c:numCache>
                <c:formatCode>0.00%</c:formatCode>
                <c:ptCount val="6"/>
                <c:pt idx="0">
                  <c:v>0</c:v>
                </c:pt>
                <c:pt idx="1">
                  <c:v>1.6306598380833322E-2</c:v>
                </c:pt>
                <c:pt idx="2">
                  <c:v>8.0156233994166659E-2</c:v>
                </c:pt>
                <c:pt idx="3">
                  <c:v>7.6188556083333359E-3</c:v>
                </c:pt>
                <c:pt idx="4">
                  <c:v>-2.3591397841666667E-2</c:v>
                </c:pt>
                <c:pt idx="5">
                  <c:v>2.882930105833334E-2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7B-4483-8685-17FAE050B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554576"/>
        <c:axId val="684554216"/>
      </c:lineChart>
      <c:catAx>
        <c:axId val="11988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821832"/>
        <c:crosses val="autoZero"/>
        <c:auto val="1"/>
        <c:lblAlgn val="ctr"/>
        <c:lblOffset val="100"/>
        <c:noMultiLvlLbl val="0"/>
      </c:catAx>
      <c:valAx>
        <c:axId val="1198821832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8828672"/>
        <c:crosses val="autoZero"/>
        <c:crossBetween val="between"/>
      </c:valAx>
      <c:valAx>
        <c:axId val="6845542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554576"/>
        <c:crosses val="max"/>
        <c:crossBetween val="between"/>
      </c:valAx>
      <c:catAx>
        <c:axId val="684554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845542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Dashboard!$AH$2</c:f>
          <c:strCache>
            <c:ptCount val="1"/>
            <c:pt idx="0">
              <c:v>DOLLAR EXCHANGE EVOLUTION - 2025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107222222222218E-2"/>
          <c:y val="0.1496044984538217"/>
          <c:w val="0.78375055555555551"/>
          <c:h val="0.612662877330647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DADOS!$P$3</c:f>
              <c:strCache>
                <c:ptCount val="1"/>
                <c:pt idx="0">
                  <c:v>AVERAGE EXCHANGE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5000000000000001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8D-402A-9515-43D921448A2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8D-402A-9515-43D921448A2B}"/>
                </c:ext>
              </c:extLst>
            </c:dLbl>
            <c:dLbl>
              <c:idx val="2"/>
              <c:layout>
                <c:manualLayout>
                  <c:x val="5.5555555555555046E-3"/>
                  <c:y val="-1.36904738377200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8D-402A-9515-43D921448A2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18D-402A-9515-43D921448A2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18D-402A-9515-43D921448A2B}"/>
                </c:ext>
              </c:extLst>
            </c:dLbl>
            <c:dLbl>
              <c:idx val="6"/>
              <c:layout>
                <c:manualLayout>
                  <c:x val="0"/>
                  <c:y val="-2.73809476754402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18D-402A-9515-43D921448A2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18D-402A-9515-43D921448A2B}"/>
                </c:ext>
              </c:extLst>
            </c:dLbl>
            <c:dLbl>
              <c:idx val="8"/>
              <c:layout>
                <c:manualLayout>
                  <c:x val="1.1111111111111112E-2"/>
                  <c:y val="-1.369047383772009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18D-402A-9515-43D921448A2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18D-402A-9515-43D921448A2B}"/>
                </c:ext>
              </c:extLst>
            </c:dLbl>
            <c:dLbl>
              <c:idx val="10"/>
              <c:layout>
                <c:manualLayout>
                  <c:x val="2.2222222222222223E-2"/>
                  <c:y val="-1.825396511696012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18D-402A-9515-43D921448A2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18D-402A-9515-43D921448A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DADOS!$O$4:$O$15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</c:numCache>
            </c:numRef>
          </c:cat>
          <c:val>
            <c:numRef>
              <c:f>DADOS!$P$4:$P$15</c:f>
              <c:numCache>
                <c:formatCode>_("R$"* #,##0.00_);_("R$"* \(#,##0.00\);_("R$"* "-"??_);_(@_)</c:formatCode>
                <c:ptCount val="12"/>
                <c:pt idx="0">
                  <c:v>6.0217727272727268</c:v>
                </c:pt>
                <c:pt idx="1">
                  <c:v>5.7656450000000001</c:v>
                </c:pt>
                <c:pt idx="2">
                  <c:v>5.7468105263157891</c:v>
                </c:pt>
                <c:pt idx="3">
                  <c:v>5.7836749999999997</c:v>
                </c:pt>
                <c:pt idx="4">
                  <c:v>5.6673857142857145</c:v>
                </c:pt>
                <c:pt idx="5">
                  <c:v>5.5470550000000003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18D-402A-9515-43D921448A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80221568"/>
        <c:axId val="680219768"/>
      </c:barChart>
      <c:lineChart>
        <c:grouping val="standard"/>
        <c:varyColors val="0"/>
        <c:ser>
          <c:idx val="1"/>
          <c:order val="1"/>
          <c:tx>
            <c:strRef>
              <c:f>DADOS!$Q$3</c:f>
              <c:strCache>
                <c:ptCount val="1"/>
                <c:pt idx="0">
                  <c:v>VARIATION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numRef>
              <c:f>DADOS!$O$4:$O$15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</c:numCache>
            </c:numRef>
          </c:cat>
          <c:val>
            <c:numRef>
              <c:f>DADOS!$Q$4:$Q$15</c:f>
              <c:numCache>
                <c:formatCode>_("R$"* #,##0.00_);_("R$"* \(#,##0.00\);_("R$"* "-"??_);_(@_)</c:formatCode>
                <c:ptCount val="12"/>
                <c:pt idx="0">
                  <c:v>-7.5255844155845075E-2</c:v>
                </c:pt>
                <c:pt idx="1">
                  <c:v>-0.2561277272727267</c:v>
                </c:pt>
                <c:pt idx="2">
                  <c:v>-1.8834473684210984E-2</c:v>
                </c:pt>
                <c:pt idx="3">
                  <c:v>3.686447368421053E-2</c:v>
                </c:pt>
                <c:pt idx="4">
                  <c:v>-0.11628928571428521</c:v>
                </c:pt>
                <c:pt idx="5">
                  <c:v>-0.12033071428571418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18D-402A-9515-43D921448A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01827896"/>
        <c:axId val="1201827176"/>
      </c:lineChart>
      <c:dateAx>
        <c:axId val="680221568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19768"/>
        <c:crosses val="autoZero"/>
        <c:auto val="1"/>
        <c:lblOffset val="100"/>
        <c:baseTimeUnit val="months"/>
        <c:majorUnit val="2"/>
        <c:majorTimeUnit val="months"/>
      </c:dateAx>
      <c:valAx>
        <c:axId val="680219768"/>
        <c:scaling>
          <c:orientation val="minMax"/>
        </c:scaling>
        <c:delete val="0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21568"/>
        <c:crosses val="autoZero"/>
        <c:crossBetween val="between"/>
      </c:valAx>
      <c:valAx>
        <c:axId val="1201827176"/>
        <c:scaling>
          <c:orientation val="minMax"/>
        </c:scaling>
        <c:delete val="0"/>
        <c:axPos val="r"/>
        <c:numFmt formatCode="_(&quot;R$&quot;* #,##0.00_);_(&quot;R$&quot;* \(#,##0.00\);_(&quot;R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1827896"/>
        <c:crosses val="max"/>
        <c:crossBetween val="between"/>
      </c:valAx>
      <c:dateAx>
        <c:axId val="1201827896"/>
        <c:scaling>
          <c:orientation val="minMax"/>
        </c:scaling>
        <c:delete val="1"/>
        <c:axPos val="b"/>
        <c:numFmt formatCode="[$-416]mmm\-\y\y;@" sourceLinked="1"/>
        <c:majorTickMark val="out"/>
        <c:minorTickMark val="none"/>
        <c:tickLblPos val="nextTo"/>
        <c:crossAx val="120182717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Dashboard!$AH$1</c:f>
          <c:strCache>
            <c:ptCount val="1"/>
            <c:pt idx="0">
              <c:v>IPCA EVOLUTION - 2025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DADOS!$F$21</c:f>
              <c:strCache>
                <c:ptCount val="1"/>
                <c:pt idx="0">
                  <c:v>IPCA TAX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3.3072916666666674E-2"/>
                  <c:y val="-4.21868356403837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357-4586-89FC-0E14FABDCCA7}"/>
                </c:ext>
              </c:extLst>
            </c:dLbl>
            <c:dLbl>
              <c:idx val="1"/>
              <c:layout>
                <c:manualLayout>
                  <c:x val="-4.8506944444444443E-2"/>
                  <c:y val="-4.218683564038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357-4586-89FC-0E14FABDCCA7}"/>
                </c:ext>
              </c:extLst>
            </c:dLbl>
            <c:dLbl>
              <c:idx val="5"/>
              <c:layout>
                <c:manualLayout>
                  <c:x val="-8.819444444444444E-3"/>
                  <c:y val="-9.84359498275618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357-4586-89FC-0E14FABDCCA7}"/>
                </c:ext>
              </c:extLst>
            </c:dLbl>
            <c:dLbl>
              <c:idx val="6"/>
              <c:layout>
                <c:manualLayout>
                  <c:x val="-4.6302083333333417E-2"/>
                  <c:y val="-4.6874261822648462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357-4586-89FC-0E14FABDCCA7}"/>
                </c:ext>
              </c:extLst>
            </c:dLbl>
            <c:dLbl>
              <c:idx val="8"/>
              <c:layout>
                <c:manualLayout>
                  <c:x val="-1.984375000000008E-2"/>
                  <c:y val="-8.43736712807671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357-4586-89FC-0E14FABDCCA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0" tIns="0" rIns="0" bIns="3600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DADOS!$E$22:$E$33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</c:numCache>
            </c:numRef>
          </c:cat>
          <c:val>
            <c:numRef>
              <c:f>DADOS!$F$22:$F$33</c:f>
              <c:numCache>
                <c:formatCode>General</c:formatCode>
                <c:ptCount val="12"/>
                <c:pt idx="0">
                  <c:v>0.16</c:v>
                </c:pt>
                <c:pt idx="1">
                  <c:v>1.31</c:v>
                </c:pt>
                <c:pt idx="2">
                  <c:v>0.56000000000000005</c:v>
                </c:pt>
                <c:pt idx="3">
                  <c:v>0.43</c:v>
                </c:pt>
                <c:pt idx="4">
                  <c:v>0.26</c:v>
                </c:pt>
                <c:pt idx="5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7-4586-89FC-0E14FABDC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561813352"/>
        <c:axId val="561812272"/>
      </c:barChart>
      <c:lineChart>
        <c:grouping val="standard"/>
        <c:varyColors val="0"/>
        <c:ser>
          <c:idx val="1"/>
          <c:order val="1"/>
          <c:tx>
            <c:strRef>
              <c:f>DADOS!$G$21</c:f>
              <c:strCache>
                <c:ptCount val="1"/>
                <c:pt idx="0">
                  <c:v>VARIATION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noFill/>
              </a:ln>
              <a:effectLst/>
            </c:spPr>
          </c:marker>
          <c:dLbls>
            <c:delete val="1"/>
          </c:dLbls>
          <c:cat>
            <c:numRef>
              <c:f>DADOS!$E$22:$E$33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</c:numCache>
            </c:numRef>
          </c:cat>
          <c:val>
            <c:numRef>
              <c:f>DADOS!$G$22:$G$33</c:f>
              <c:numCache>
                <c:formatCode>General</c:formatCode>
                <c:ptCount val="12"/>
                <c:pt idx="0">
                  <c:v>-0.36</c:v>
                </c:pt>
                <c:pt idx="1">
                  <c:v>1.1500000000000001</c:v>
                </c:pt>
                <c:pt idx="2">
                  <c:v>-0.75</c:v>
                </c:pt>
                <c:pt idx="3">
                  <c:v>-0.13000000000000006</c:v>
                </c:pt>
                <c:pt idx="4">
                  <c:v>-0.16999999999999998</c:v>
                </c:pt>
                <c:pt idx="5">
                  <c:v>-2.0000000000000018E-2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7-4586-89FC-0E14FABDCCA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3203800"/>
        <c:axId val="563199120"/>
      </c:lineChart>
      <c:dateAx>
        <c:axId val="561813352"/>
        <c:scaling>
          <c:orientation val="minMax"/>
        </c:scaling>
        <c:delete val="0"/>
        <c:axPos val="b"/>
        <c:numFmt formatCode="mmm/yy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accent5">
                <a:lumMod val="60000"/>
                <a:lumOff val="40000"/>
              </a:schemeClr>
            </a:solidFill>
            <a:round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812272"/>
        <c:crosses val="autoZero"/>
        <c:auto val="0"/>
        <c:lblOffset val="100"/>
        <c:baseTimeUnit val="months"/>
      </c:dateAx>
      <c:valAx>
        <c:axId val="5618122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813352"/>
        <c:crosses val="autoZero"/>
        <c:crossBetween val="between"/>
      </c:valAx>
      <c:valAx>
        <c:axId val="563199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203800"/>
        <c:crosses val="max"/>
        <c:crossBetween val="between"/>
      </c:valAx>
      <c:dateAx>
        <c:axId val="563203800"/>
        <c:scaling>
          <c:orientation val="minMax"/>
        </c:scaling>
        <c:delete val="1"/>
        <c:axPos val="b"/>
        <c:numFmt formatCode="[$-416]mmm\-\y\y;@" sourceLinked="1"/>
        <c:majorTickMark val="out"/>
        <c:minorTickMark val="none"/>
        <c:tickLblPos val="nextTo"/>
        <c:crossAx val="56319912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Dashboard!$BC$2</c:f>
          <c:strCache>
            <c:ptCount val="1"/>
            <c:pt idx="0">
              <c:v>SELIC EVOLUTION - 2025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DADOS!$F$4</c:f>
              <c:strCache>
                <c:ptCount val="1"/>
                <c:pt idx="0">
                  <c:v>SELIC RATE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DADOS!$E$5:$E$16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</c:numCache>
            </c:numRef>
          </c:cat>
          <c:val>
            <c:numRef>
              <c:f>DADOS!$F$5:$F$16</c:f>
              <c:numCache>
                <c:formatCode>0%</c:formatCode>
                <c:ptCount val="12"/>
                <c:pt idx="0">
                  <c:v>0.1231451613</c:v>
                </c:pt>
                <c:pt idx="1">
                  <c:v>0.13250000000000001</c:v>
                </c:pt>
                <c:pt idx="2">
                  <c:v>0.13637096769999998</c:v>
                </c:pt>
                <c:pt idx="3">
                  <c:v>0.14249999999999999</c:v>
                </c:pt>
                <c:pt idx="4">
                  <c:v>0.14637096769999999</c:v>
                </c:pt>
                <c:pt idx="5">
                  <c:v>0.14849999999999999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1B-456A-9F7A-4DAF61953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88303416"/>
        <c:axId val="688300536"/>
      </c:barChart>
      <c:lineChart>
        <c:grouping val="standard"/>
        <c:varyColors val="0"/>
        <c:ser>
          <c:idx val="1"/>
          <c:order val="1"/>
          <c:tx>
            <c:strRef>
              <c:f>DADOS!$G$4</c:f>
              <c:strCache>
                <c:ptCount val="1"/>
                <c:pt idx="0">
                  <c:v>VARIATION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noFill/>
              </a:ln>
              <a:effectLst/>
            </c:spPr>
          </c:marker>
          <c:cat>
            <c:numRef>
              <c:f>DADOS!$E$5:$E$16</c:f>
              <c:numCache>
                <c:formatCode>[$-416]mmm\-\y\y;@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</c:numCache>
            </c:numRef>
          </c:cat>
          <c:val>
            <c:numRef>
              <c:f>DADOS!$G$5:$G$16</c:f>
              <c:numCache>
                <c:formatCode>0%</c:formatCode>
                <c:ptCount val="12"/>
                <c:pt idx="0">
                  <c:v>4.1935483999999967E-3</c:v>
                </c:pt>
                <c:pt idx="1">
                  <c:v>9.3548387000000066E-3</c:v>
                </c:pt>
                <c:pt idx="2">
                  <c:v>3.8709676999999776E-3</c:v>
                </c:pt>
                <c:pt idx="3">
                  <c:v>6.1290323000000035E-3</c:v>
                </c:pt>
                <c:pt idx="4">
                  <c:v>3.8709677000000053E-3</c:v>
                </c:pt>
                <c:pt idx="5">
                  <c:v>2.1290323E-3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1B-456A-9F7A-4DAF61953E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5937200"/>
        <c:axId val="1195936840"/>
      </c:lineChart>
      <c:dateAx>
        <c:axId val="688303416"/>
        <c:scaling>
          <c:orientation val="minMax"/>
        </c:scaling>
        <c:delete val="0"/>
        <c:axPos val="b"/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00536"/>
        <c:crosses val="autoZero"/>
        <c:auto val="1"/>
        <c:lblOffset val="100"/>
        <c:baseTimeUnit val="months"/>
        <c:majorUnit val="2"/>
        <c:majorTimeUnit val="months"/>
      </c:dateAx>
      <c:valAx>
        <c:axId val="688300536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03416"/>
        <c:crosses val="autoZero"/>
        <c:crossBetween val="between"/>
      </c:valAx>
      <c:valAx>
        <c:axId val="119593684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937200"/>
        <c:crosses val="max"/>
        <c:crossBetween val="between"/>
      </c:valAx>
      <c:dateAx>
        <c:axId val="1195937200"/>
        <c:scaling>
          <c:orientation val="minMax"/>
        </c:scaling>
        <c:delete val="1"/>
        <c:axPos val="b"/>
        <c:numFmt formatCode="[$-416]mmm\-\y\y;@" sourceLinked="1"/>
        <c:majorTickMark val="out"/>
        <c:minorTickMark val="none"/>
        <c:tickLblPos val="nextTo"/>
        <c:crossAx val="1195936840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svg"/><Relationship Id="rId13" Type="http://schemas.openxmlformats.org/officeDocument/2006/relationships/chart" Target="../charts/chart6.xml"/><Relationship Id="rId3" Type="http://schemas.openxmlformats.org/officeDocument/2006/relationships/image" Target="../media/image3.svg"/><Relationship Id="rId7" Type="http://schemas.openxmlformats.org/officeDocument/2006/relationships/image" Target="../media/image4.png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11" Type="http://schemas.openxmlformats.org/officeDocument/2006/relationships/chart" Target="../charts/chart4.xml"/><Relationship Id="rId5" Type="http://schemas.openxmlformats.org/officeDocument/2006/relationships/chart" Target="../charts/chart2.xml"/><Relationship Id="rId10" Type="http://schemas.openxmlformats.org/officeDocument/2006/relationships/image" Target="../media/image7.svg"/><Relationship Id="rId4" Type="http://schemas.openxmlformats.org/officeDocument/2006/relationships/chart" Target="../charts/chart1.xml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516082</xdr:colOff>
      <xdr:row>1</xdr:row>
      <xdr:rowOff>13854</xdr:rowOff>
    </xdr:from>
    <xdr:to>
      <xdr:col>54</xdr:col>
      <xdr:colOff>0</xdr:colOff>
      <xdr:row>6</xdr:row>
      <xdr:rowOff>81708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D2E9F6A-D32B-843C-773A-AF715810BA27}"/>
            </a:ext>
          </a:extLst>
        </xdr:cNvPr>
        <xdr:cNvSpPr txBox="1"/>
      </xdr:nvSpPr>
      <xdr:spPr>
        <a:xfrm>
          <a:off x="2344882" y="196734"/>
          <a:ext cx="30573518" cy="98225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4400">
              <a:solidFill>
                <a:schemeClr val="accent1">
                  <a:lumMod val="60000"/>
                  <a:lumOff val="40000"/>
                </a:schemeClr>
              </a:solidFill>
              <a:latin typeface="Arial Rounded MT Bold" panose="020F0704030504030204" pitchFamily="34" charset="0"/>
              <a:cs typeface="Arial" panose="020B0604020202020204" pitchFamily="34" charset="0"/>
            </a:rPr>
            <a:t>BRAZIL MACROECONOMIC REPORT</a:t>
          </a:r>
        </a:p>
      </xdr:txBody>
    </xdr:sp>
    <xdr:clientData/>
  </xdr:twoCellAnchor>
  <xdr:twoCellAnchor editAs="oneCell">
    <xdr:from>
      <xdr:col>1</xdr:col>
      <xdr:colOff>154823</xdr:colOff>
      <xdr:row>1</xdr:row>
      <xdr:rowOff>13854</xdr:rowOff>
    </xdr:from>
    <xdr:to>
      <xdr:col>3</xdr:col>
      <xdr:colOff>321077</xdr:colOff>
      <xdr:row>6</xdr:row>
      <xdr:rowOff>83126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79B18F73-CD4B-0716-4AED-4E219A98F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3223" y="204354"/>
          <a:ext cx="1385454" cy="1021772"/>
        </a:xfrm>
        <a:prstGeom prst="rect">
          <a:avLst/>
        </a:prstGeom>
      </xdr:spPr>
    </xdr:pic>
    <xdr:clientData/>
  </xdr:twoCellAnchor>
  <xdr:twoCellAnchor editAs="oneCell">
    <xdr:from>
      <xdr:col>4</xdr:col>
      <xdr:colOff>96302</xdr:colOff>
      <xdr:row>48</xdr:row>
      <xdr:rowOff>46760</xdr:rowOff>
    </xdr:from>
    <xdr:to>
      <xdr:col>5</xdr:col>
      <xdr:colOff>0</xdr:colOff>
      <xdr:row>51</xdr:row>
      <xdr:rowOff>0</xdr:rowOff>
    </xdr:to>
    <xdr:pic>
      <xdr:nvPicPr>
        <xdr:cNvPr id="29" name="Graphic 28" descr="Bar chart with solid fill">
          <a:extLst>
            <a:ext uri="{FF2B5EF4-FFF2-40B4-BE49-F238E27FC236}">
              <a16:creationId xmlns:a16="http://schemas.microsoft.com/office/drawing/2014/main" id="{A311F437-0AB3-9925-B89D-C87192D2C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534702" y="8691996"/>
          <a:ext cx="513298" cy="493568"/>
        </a:xfrm>
        <a:prstGeom prst="rect">
          <a:avLst/>
        </a:prstGeom>
      </xdr:spPr>
    </xdr:pic>
    <xdr:clientData/>
  </xdr:twoCellAnchor>
  <xdr:twoCellAnchor editAs="oneCell">
    <xdr:from>
      <xdr:col>1</xdr:col>
      <xdr:colOff>193284</xdr:colOff>
      <xdr:row>48</xdr:row>
      <xdr:rowOff>57150</xdr:rowOff>
    </xdr:from>
    <xdr:to>
      <xdr:col>2</xdr:col>
      <xdr:colOff>96982</xdr:colOff>
      <xdr:row>51</xdr:row>
      <xdr:rowOff>0</xdr:rowOff>
    </xdr:to>
    <xdr:pic>
      <xdr:nvPicPr>
        <xdr:cNvPr id="31" name="Graphic 30" descr="Bar chart with solid fill">
          <a:extLst>
            <a:ext uri="{FF2B5EF4-FFF2-40B4-BE49-F238E27FC236}">
              <a16:creationId xmlns:a16="http://schemas.microsoft.com/office/drawing/2014/main" id="{4D04D534-A52C-5018-FBB4-9E02946DC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02884" y="8702386"/>
          <a:ext cx="513298" cy="483178"/>
        </a:xfrm>
        <a:prstGeom prst="rect">
          <a:avLst/>
        </a:prstGeom>
      </xdr:spPr>
    </xdr:pic>
    <xdr:clientData/>
  </xdr:twoCellAnchor>
  <xdr:twoCellAnchor>
    <xdr:from>
      <xdr:col>34</xdr:col>
      <xdr:colOff>361950</xdr:colOff>
      <xdr:row>15</xdr:row>
      <xdr:rowOff>38100</xdr:rowOff>
    </xdr:from>
    <xdr:to>
      <xdr:col>54</xdr:col>
      <xdr:colOff>0</xdr:colOff>
      <xdr:row>45</xdr:row>
      <xdr:rowOff>76200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4893BBB-4ABA-4D5E-3914-F686FAA90D22}"/>
            </a:ext>
          </a:extLst>
        </xdr:cNvPr>
        <xdr:cNvSpPr/>
      </xdr:nvSpPr>
      <xdr:spPr>
        <a:xfrm>
          <a:off x="21107400" y="2895600"/>
          <a:ext cx="11830050" cy="5753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358967</xdr:colOff>
      <xdr:row>7</xdr:row>
      <xdr:rowOff>14709</xdr:rowOff>
    </xdr:from>
    <xdr:to>
      <xdr:col>35</xdr:col>
      <xdr:colOff>419100</xdr:colOff>
      <xdr:row>31</xdr:row>
      <xdr:rowOff>141200</xdr:rowOff>
    </xdr:to>
    <xdr:sp macro="" textlink="">
      <xdr:nvSpPr>
        <xdr:cNvPr id="39" name="Flowchart: Alternate Process 38">
          <a:extLst>
            <a:ext uri="{FF2B5EF4-FFF2-40B4-BE49-F238E27FC236}">
              <a16:creationId xmlns:a16="http://schemas.microsoft.com/office/drawing/2014/main" id="{BD7B64DC-4ED7-F3B3-AD70-D84852820BF3}"/>
            </a:ext>
          </a:extLst>
        </xdr:cNvPr>
        <xdr:cNvSpPr/>
      </xdr:nvSpPr>
      <xdr:spPr>
        <a:xfrm>
          <a:off x="358967" y="1294869"/>
          <a:ext cx="21418993" cy="4515611"/>
        </a:xfrm>
        <a:prstGeom prst="flowChartAlternateProcess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b="1">
              <a:solidFill>
                <a:srgbClr val="00B0F0"/>
              </a:solidFill>
            </a:rPr>
            <a:t>OVER VIEW 2020-2025</a:t>
          </a:r>
          <a:endParaRPr lang="en-US" sz="500" b="1">
            <a:solidFill>
              <a:srgbClr val="00B0F0"/>
            </a:solidFill>
          </a:endParaRPr>
        </a:p>
      </xdr:txBody>
    </xdr:sp>
    <xdr:clientData/>
  </xdr:twoCellAnchor>
  <xdr:twoCellAnchor>
    <xdr:from>
      <xdr:col>12</xdr:col>
      <xdr:colOff>392039</xdr:colOff>
      <xdr:row>15</xdr:row>
      <xdr:rowOff>36149</xdr:rowOff>
    </xdr:from>
    <xdr:to>
      <xdr:col>23</xdr:col>
      <xdr:colOff>50926</xdr:colOff>
      <xdr:row>29</xdr:row>
      <xdr:rowOff>31374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7130718-D040-4E83-AF97-EC7FAD88F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589510</xdr:colOff>
      <xdr:row>15</xdr:row>
      <xdr:rowOff>36149</xdr:rowOff>
    </xdr:from>
    <xdr:to>
      <xdr:col>34</xdr:col>
      <xdr:colOff>237635</xdr:colOff>
      <xdr:row>29</xdr:row>
      <xdr:rowOff>31374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194F54F8-906A-4C9C-918C-A20554EB8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142131</xdr:colOff>
      <xdr:row>15</xdr:row>
      <xdr:rowOff>36149</xdr:rowOff>
    </xdr:from>
    <xdr:to>
      <xdr:col>11</xdr:col>
      <xdr:colOff>399856</xdr:colOff>
      <xdr:row>29</xdr:row>
      <xdr:rowOff>31374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D1C527C4-75FC-4E12-BB17-D7CB280BD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451857</xdr:colOff>
      <xdr:row>38</xdr:row>
      <xdr:rowOff>30591</xdr:rowOff>
    </xdr:from>
    <xdr:to>
      <xdr:col>17</xdr:col>
      <xdr:colOff>510852</xdr:colOff>
      <xdr:row>43</xdr:row>
      <xdr:rowOff>67382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16189B53-43C4-FC13-22EC-A4C51975EE41}"/>
            </a:ext>
          </a:extLst>
        </xdr:cNvPr>
        <xdr:cNvGrpSpPr/>
      </xdr:nvGrpSpPr>
      <xdr:grpSpPr>
        <a:xfrm>
          <a:off x="451857" y="7269591"/>
          <a:ext cx="10422195" cy="989291"/>
          <a:chOff x="6958444" y="6608618"/>
          <a:chExt cx="9448801" cy="1025237"/>
        </a:xfrm>
        <a:solidFill>
          <a:schemeClr val="tx1">
            <a:lumMod val="85000"/>
            <a:lumOff val="15000"/>
          </a:schemeClr>
        </a:solidFill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D217FB5-5C62-BC5C-EF10-7F47FF496835}"/>
              </a:ext>
            </a:extLst>
          </xdr:cNvPr>
          <xdr:cNvSpPr/>
        </xdr:nvSpPr>
        <xdr:spPr>
          <a:xfrm>
            <a:off x="6958444" y="6608618"/>
            <a:ext cx="9448801" cy="1025237"/>
          </a:xfrm>
          <a:prstGeom prst="round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UM" textlink="">
        <xdr:nvSpPr>
          <xdr:cNvPr id="12" name="Flowchart: Alternate Process 11">
            <a:extLst>
              <a:ext uri="{FF2B5EF4-FFF2-40B4-BE49-F238E27FC236}">
                <a16:creationId xmlns:a16="http://schemas.microsoft.com/office/drawing/2014/main" id="{603DF31C-C8C5-BAA1-BE37-88ED96D878BE}"/>
              </a:ext>
            </a:extLst>
          </xdr:cNvPr>
          <xdr:cNvSpPr/>
        </xdr:nvSpPr>
        <xdr:spPr>
          <a:xfrm>
            <a:off x="8820175" y="6780554"/>
            <a:ext cx="1179417" cy="681364"/>
          </a:xfrm>
          <a:prstGeom prst="flowChartAlternateProcess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Franklin Gothic Demi" panose="020B0703020102020204" pitchFamily="34" charset="0"/>
                <a:cs typeface="Arial" panose="020B0604020202020204" pitchFamily="34" charset="0"/>
              </a:rPr>
              <a:t>2021</a:t>
            </a:r>
          </a:p>
        </xdr:txBody>
      </xdr:sp>
      <xdr:sp macro="[0]!TRÊS" textlink="">
        <xdr:nvSpPr>
          <xdr:cNvPr id="18" name="Flowchart: Alternate Process 17">
            <a:extLst>
              <a:ext uri="{FF2B5EF4-FFF2-40B4-BE49-F238E27FC236}">
                <a16:creationId xmlns:a16="http://schemas.microsoft.com/office/drawing/2014/main" id="{D969A4AD-3EED-4328-72D9-AD3D29C9F60C}"/>
              </a:ext>
            </a:extLst>
          </xdr:cNvPr>
          <xdr:cNvSpPr/>
        </xdr:nvSpPr>
        <xdr:spPr>
          <a:xfrm>
            <a:off x="11737943" y="6774715"/>
            <a:ext cx="1179417" cy="693042"/>
          </a:xfrm>
          <a:prstGeom prst="flowChartAlternateProcess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Franklin Gothic Demi" panose="020B0703020102020204" pitchFamily="34" charset="0"/>
                <a:cs typeface="Arial" panose="020B0604020202020204" pitchFamily="34" charset="0"/>
              </a:rPr>
              <a:t>2023</a:t>
            </a:r>
          </a:p>
        </xdr:txBody>
      </xdr:sp>
      <xdr:sp macro="[0]!ZERO" textlink="">
        <xdr:nvSpPr>
          <xdr:cNvPr id="19" name="Flowchart: Alternate Process 18">
            <a:extLst>
              <a:ext uri="{FF2B5EF4-FFF2-40B4-BE49-F238E27FC236}">
                <a16:creationId xmlns:a16="http://schemas.microsoft.com/office/drawing/2014/main" id="{FEEBA93C-B0F4-249D-359D-E5BA05F90775}"/>
              </a:ext>
            </a:extLst>
          </xdr:cNvPr>
          <xdr:cNvSpPr/>
        </xdr:nvSpPr>
        <xdr:spPr>
          <a:xfrm>
            <a:off x="7326656" y="6772556"/>
            <a:ext cx="1179417" cy="697361"/>
          </a:xfrm>
          <a:prstGeom prst="flowChartAlternateProcess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Franklin Gothic Demi" panose="020B0703020102020204" pitchFamily="34" charset="0"/>
                <a:cs typeface="Arial" panose="020B0604020202020204" pitchFamily="34" charset="0"/>
              </a:rPr>
              <a:t>2020</a:t>
            </a:r>
          </a:p>
        </xdr:txBody>
      </xdr:sp>
      <xdr:sp macro="[0]!DOIS" textlink="">
        <xdr:nvSpPr>
          <xdr:cNvPr id="20" name="Flowchart: Alternate Process 19">
            <a:extLst>
              <a:ext uri="{FF2B5EF4-FFF2-40B4-BE49-F238E27FC236}">
                <a16:creationId xmlns:a16="http://schemas.microsoft.com/office/drawing/2014/main" id="{88E9E14B-AED3-FEBD-4AC1-74AF168D015E}"/>
              </a:ext>
            </a:extLst>
          </xdr:cNvPr>
          <xdr:cNvSpPr/>
        </xdr:nvSpPr>
        <xdr:spPr>
          <a:xfrm>
            <a:off x="10216713" y="6772556"/>
            <a:ext cx="1179417" cy="697361"/>
          </a:xfrm>
          <a:prstGeom prst="flowChartAlternateProcess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Franklin Gothic Demi" panose="020B0703020102020204" pitchFamily="34" charset="0"/>
                <a:cs typeface="Arial" panose="020B0604020202020204" pitchFamily="34" charset="0"/>
              </a:rPr>
              <a:t>2022</a:t>
            </a:r>
          </a:p>
        </xdr:txBody>
      </xdr:sp>
      <xdr:sp macro="[0]!QUATRO" textlink="">
        <xdr:nvSpPr>
          <xdr:cNvPr id="52" name="Flowchart: Alternate Process 51">
            <a:extLst>
              <a:ext uri="{FF2B5EF4-FFF2-40B4-BE49-F238E27FC236}">
                <a16:creationId xmlns:a16="http://schemas.microsoft.com/office/drawing/2014/main" id="{1A9F2A61-3E45-7FDF-A448-1359A24EA60C}"/>
              </a:ext>
            </a:extLst>
          </xdr:cNvPr>
          <xdr:cNvSpPr/>
        </xdr:nvSpPr>
        <xdr:spPr>
          <a:xfrm>
            <a:off x="13148336" y="6772556"/>
            <a:ext cx="1179417" cy="697361"/>
          </a:xfrm>
          <a:prstGeom prst="flowChartAlternateProcess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Franklin Gothic Demi" panose="020B0703020102020204" pitchFamily="34" charset="0"/>
                <a:cs typeface="Arial" panose="020B0604020202020204" pitchFamily="34" charset="0"/>
              </a:rPr>
              <a:t>2024</a:t>
            </a:r>
          </a:p>
        </xdr:txBody>
      </xdr:sp>
      <xdr:sp macro="[0]!CINCO" textlink="">
        <xdr:nvSpPr>
          <xdr:cNvPr id="53" name="Flowchart: Alternate Process 52">
            <a:extLst>
              <a:ext uri="{FF2B5EF4-FFF2-40B4-BE49-F238E27FC236}">
                <a16:creationId xmlns:a16="http://schemas.microsoft.com/office/drawing/2014/main" id="{B50111B5-528F-924B-A3A7-C3C7CCFDEF87}"/>
              </a:ext>
            </a:extLst>
          </xdr:cNvPr>
          <xdr:cNvSpPr/>
        </xdr:nvSpPr>
        <xdr:spPr>
          <a:xfrm>
            <a:off x="14655710" y="6777751"/>
            <a:ext cx="1179417" cy="686970"/>
          </a:xfrm>
          <a:prstGeom prst="flowChartAlternateProcess">
            <a:avLst/>
          </a:prstGeom>
          <a:solidFill>
            <a:srgbClr val="00B0F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>
                <a:latin typeface="Franklin Gothic Demi" panose="020B0703020102020204" pitchFamily="34" charset="0"/>
                <a:cs typeface="Arial" panose="020B0604020202020204" pitchFamily="34" charset="0"/>
              </a:rPr>
              <a:t>2025</a:t>
            </a:r>
          </a:p>
        </xdr:txBody>
      </xdr:sp>
    </xdr:grpSp>
    <xdr:clientData/>
  </xdr:twoCellAnchor>
  <xdr:twoCellAnchor>
    <xdr:from>
      <xdr:col>0</xdr:col>
      <xdr:colOff>101140</xdr:colOff>
      <xdr:row>32</xdr:row>
      <xdr:rowOff>155597</xdr:rowOff>
    </xdr:from>
    <xdr:to>
      <xdr:col>36</xdr:col>
      <xdr:colOff>76919</xdr:colOff>
      <xdr:row>67</xdr:row>
      <xdr:rowOff>114300</xdr:rowOff>
    </xdr:to>
    <xdr:sp macro="" textlink="">
      <xdr:nvSpPr>
        <xdr:cNvPr id="14" name="Flowchart: Alternate Process 13">
          <a:extLst>
            <a:ext uri="{FF2B5EF4-FFF2-40B4-BE49-F238E27FC236}">
              <a16:creationId xmlns:a16="http://schemas.microsoft.com/office/drawing/2014/main" id="{661DAACC-0292-3DBE-01B4-AD1416B76BF5}"/>
            </a:ext>
          </a:extLst>
        </xdr:cNvPr>
        <xdr:cNvSpPr/>
      </xdr:nvSpPr>
      <xdr:spPr>
        <a:xfrm>
          <a:off x="101140" y="6251597"/>
          <a:ext cx="21940429" cy="6626203"/>
        </a:xfrm>
        <a:prstGeom prst="flowChartAlternateProcess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 b="1">
              <a:solidFill>
                <a:srgbClr val="00B0F0"/>
              </a:solidFill>
            </a:rPr>
            <a:t>DETAILED VIEW PER YEAR</a:t>
          </a:r>
          <a:endParaRPr lang="en-US" sz="600" b="1">
            <a:solidFill>
              <a:srgbClr val="00B0F0"/>
            </a:solidFill>
          </a:endParaRPr>
        </a:p>
      </xdr:txBody>
    </xdr:sp>
    <xdr:clientData/>
  </xdr:twoCellAnchor>
  <xdr:twoCellAnchor>
    <xdr:from>
      <xdr:col>18</xdr:col>
      <xdr:colOff>37</xdr:colOff>
      <xdr:row>38</xdr:row>
      <xdr:rowOff>30591</xdr:rowOff>
    </xdr:from>
    <xdr:to>
      <xdr:col>24</xdr:col>
      <xdr:colOff>211852</xdr:colOff>
      <xdr:row>43</xdr:row>
      <xdr:rowOff>66883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B0C8EB78-2701-7755-0E6C-7159265EDFAF}"/>
            </a:ext>
          </a:extLst>
        </xdr:cNvPr>
        <xdr:cNvGrpSpPr/>
      </xdr:nvGrpSpPr>
      <xdr:grpSpPr>
        <a:xfrm>
          <a:off x="10972837" y="7269591"/>
          <a:ext cx="3888465" cy="988792"/>
          <a:chOff x="12613574" y="7533410"/>
          <a:chExt cx="3497284" cy="1044000"/>
        </a:xfrm>
      </xdr:grpSpPr>
      <xdr:sp macro="" textlink="">
        <xdr:nvSpPr>
          <xdr:cNvPr id="70" name="Flowchart: Alternate Process 69">
            <a:extLst>
              <a:ext uri="{FF2B5EF4-FFF2-40B4-BE49-F238E27FC236}">
                <a16:creationId xmlns:a16="http://schemas.microsoft.com/office/drawing/2014/main" id="{1141C47F-817F-AC6A-ACB3-9A1AD76F59C7}"/>
              </a:ext>
            </a:extLst>
          </xdr:cNvPr>
          <xdr:cNvSpPr/>
        </xdr:nvSpPr>
        <xdr:spPr>
          <a:xfrm>
            <a:off x="12613574" y="7533410"/>
            <a:ext cx="3497284" cy="1044000"/>
          </a:xfrm>
          <a:prstGeom prst="flowChartAlternateProcess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Current analysis</a:t>
            </a:r>
            <a:endParaRPr lang="en-US" sz="800">
              <a:solidFill>
                <a:schemeClr val="bg1"/>
              </a:solidFill>
            </a:endParaRPr>
          </a:p>
        </xdr:txBody>
      </xdr:sp>
      <xdr:sp macro="" textlink="DADOS!B1">
        <xdr:nvSpPr>
          <xdr:cNvPr id="71" name="Flowchart: Alternate Process 70">
            <a:extLst>
              <a:ext uri="{FF2B5EF4-FFF2-40B4-BE49-F238E27FC236}">
                <a16:creationId xmlns:a16="http://schemas.microsoft.com/office/drawing/2014/main" id="{4751B9A1-069D-4C61-1A3A-F2D5DEB97233}"/>
              </a:ext>
            </a:extLst>
          </xdr:cNvPr>
          <xdr:cNvSpPr/>
        </xdr:nvSpPr>
        <xdr:spPr>
          <a:xfrm>
            <a:off x="13258800" y="7957456"/>
            <a:ext cx="1828800" cy="609353"/>
          </a:xfrm>
          <a:prstGeom prst="flowChartAlternateProcess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B9213521-3D44-4A03-9185-3CEE6A92AB06}" type="TxLink">
              <a:rPr lang="en-US" sz="3200" b="0" i="0" u="none" strike="noStrike">
                <a:solidFill>
                  <a:srgbClr val="00B0F0"/>
                </a:solidFill>
                <a:latin typeface="Aptos Narrow"/>
              </a:rPr>
              <a:pPr algn="l"/>
              <a:t>2025</a:t>
            </a:fld>
            <a:endParaRPr lang="en-US" sz="3200">
              <a:solidFill>
                <a:srgbClr val="00B0F0"/>
              </a:solidFill>
            </a:endParaRPr>
          </a:p>
        </xdr:txBody>
      </xdr:sp>
    </xdr:grpSp>
    <xdr:clientData/>
  </xdr:twoCellAnchor>
  <xdr:twoCellAnchor>
    <xdr:from>
      <xdr:col>28</xdr:col>
      <xdr:colOff>95250</xdr:colOff>
      <xdr:row>36</xdr:row>
      <xdr:rowOff>163882</xdr:rowOff>
    </xdr:from>
    <xdr:to>
      <xdr:col>32</xdr:col>
      <xdr:colOff>21971</xdr:colOff>
      <xdr:row>47</xdr:row>
      <xdr:rowOff>50338</xdr:rowOff>
    </xdr:to>
    <xdr:pic>
      <xdr:nvPicPr>
        <xdr:cNvPr id="11" name="Graphic 10" descr="Coins with solid fill">
          <a:extLst>
            <a:ext uri="{FF2B5EF4-FFF2-40B4-BE49-F238E27FC236}">
              <a16:creationId xmlns:a16="http://schemas.microsoft.com/office/drawing/2014/main" id="{A8BB64CD-16F7-EDFA-7939-DA4B77412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183100" y="7021882"/>
          <a:ext cx="2365121" cy="1981956"/>
        </a:xfrm>
        <a:prstGeom prst="rect">
          <a:avLst/>
        </a:prstGeom>
      </xdr:spPr>
    </xdr:pic>
    <xdr:clientData/>
  </xdr:twoCellAnchor>
  <xdr:twoCellAnchor>
    <xdr:from>
      <xdr:col>36</xdr:col>
      <xdr:colOff>553815</xdr:colOff>
      <xdr:row>7</xdr:row>
      <xdr:rowOff>166744</xdr:rowOff>
    </xdr:from>
    <xdr:to>
      <xdr:col>56</xdr:col>
      <xdr:colOff>300990</xdr:colOff>
      <xdr:row>57</xdr:row>
      <xdr:rowOff>126319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8B1591C-B338-3068-50EC-587EFC0B67A7}"/>
            </a:ext>
          </a:extLst>
        </xdr:cNvPr>
        <xdr:cNvGrpSpPr/>
      </xdr:nvGrpSpPr>
      <xdr:grpSpPr>
        <a:xfrm>
          <a:off x="22518465" y="1500244"/>
          <a:ext cx="11939175" cy="9484575"/>
          <a:chOff x="20135850" y="1466850"/>
          <a:chExt cx="14996475" cy="10287833"/>
        </a:xfrm>
      </xdr:grpSpPr>
      <xdr:sp macro="" textlink="">
        <xdr:nvSpPr>
          <xdr:cNvPr id="55" name="Flowchart: Alternate Process 54">
            <a:extLst>
              <a:ext uri="{FF2B5EF4-FFF2-40B4-BE49-F238E27FC236}">
                <a16:creationId xmlns:a16="http://schemas.microsoft.com/office/drawing/2014/main" id="{319C1C98-E0C8-929B-586F-672864E16317}"/>
              </a:ext>
            </a:extLst>
          </xdr:cNvPr>
          <xdr:cNvSpPr/>
        </xdr:nvSpPr>
        <xdr:spPr>
          <a:xfrm>
            <a:off x="20135850" y="1466850"/>
            <a:ext cx="14020800" cy="9334500"/>
          </a:xfrm>
          <a:prstGeom prst="flowChartAlternateProcess">
            <a:avLst/>
          </a:prstGeom>
          <a:noFill/>
          <a:ln>
            <a:solidFill>
              <a:srgbClr val="00B0F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US" sz="600" b="1">
              <a:solidFill>
                <a:srgbClr val="00B0F0"/>
              </a:solidFill>
            </a:endParaRPr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5B9D12F4-E969-0F8E-713D-B65D2E88AA27}"/>
              </a:ext>
            </a:extLst>
          </xdr:cNvPr>
          <xdr:cNvSpPr/>
        </xdr:nvSpPr>
        <xdr:spPr>
          <a:xfrm>
            <a:off x="31942725" y="8431530"/>
            <a:ext cx="3189600" cy="3322800"/>
          </a:xfrm>
          <a:prstGeom prst="rect">
            <a:avLst/>
          </a:prstGeom>
          <a:solidFill>
            <a:schemeClr val="bg2">
              <a:lumMod val="1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$U$87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ECDC58C7-B8B9-B8F4-E57E-D5992CAEFA6B}"/>
              </a:ext>
            </a:extLst>
          </xdr:cNvPr>
          <xdr:cNvSpPr/>
        </xdr:nvSpPr>
        <xdr:spPr>
          <a:xfrm>
            <a:off x="21107400" y="4191000"/>
            <a:ext cx="11144250" cy="1234440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FA1B3F49-598F-45E5-A585-2E211B12B6FE}" type="TxLink">
              <a:rPr lang="en-US" sz="2800" b="0" i="0" u="none" strike="noStrike">
                <a:solidFill>
                  <a:schemeClr val="bg1"/>
                </a:solidFill>
                <a:latin typeface="Aptos Narrow"/>
              </a:rPr>
              <a:t>1- Investors started selling Brazillian real assets to buy Dollar,  causing the dollar price rise</a:t>
            </a:fld>
            <a:endParaRPr lang="en-US" sz="2800">
              <a:solidFill>
                <a:schemeClr val="bg1"/>
              </a:solidFill>
            </a:endParaRPr>
          </a:p>
        </xdr:txBody>
      </xdr:sp>
      <xdr:sp macro="" textlink="$U$89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7C077AA8-87F8-D471-9268-FB8835970007}"/>
              </a:ext>
            </a:extLst>
          </xdr:cNvPr>
          <xdr:cNvSpPr/>
        </xdr:nvSpPr>
        <xdr:spPr>
          <a:xfrm>
            <a:off x="21107400" y="7410450"/>
            <a:ext cx="11144250" cy="1727612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B69DB053-43FA-4FC4-AC6A-8E3289073775}" type="TxLink">
              <a:rPr lang="en-US" sz="2800" b="0" i="0" u="none" strike="noStrike">
                <a:solidFill>
                  <a:schemeClr val="bg1"/>
                </a:solidFill>
                <a:latin typeface="Aptos Narrow"/>
              </a:rPr>
              <a:t>3-BACEN had to rise Selic again to not only keep the country attractive to investors but also control the new surge in inflation/IPCA</a:t>
            </a:fld>
            <a:endParaRPr lang="en-US" sz="2800">
              <a:solidFill>
                <a:schemeClr val="bg1"/>
              </a:solidFill>
            </a:endParaRPr>
          </a:p>
        </xdr:txBody>
      </xdr:sp>
      <xdr:sp macro="" textlink="$U$88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47C2C8AB-4626-CD2D-91AF-64EFB9A4547F}"/>
              </a:ext>
            </a:extLst>
          </xdr:cNvPr>
          <xdr:cNvSpPr/>
        </xdr:nvSpPr>
        <xdr:spPr>
          <a:xfrm>
            <a:off x="21107400" y="5743575"/>
            <a:ext cx="11144250" cy="1205865"/>
          </a:xfrm>
          <a:prstGeom prst="round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EF9C1558-84FE-4532-B8FE-AFDA86B393E8}" type="TxLink">
              <a:rPr lang="en-US" sz="2800" b="0" i="0" u="none" strike="noStrike">
                <a:solidFill>
                  <a:schemeClr val="bg1"/>
                </a:solidFill>
                <a:latin typeface="Aptos Narrow"/>
              </a:rPr>
              <a:t>2-The increased supply of Brazillian reais from investors selling led to a new rise of IPCA.</a:t>
            </a:fld>
            <a:endParaRPr lang="en-US" sz="2800">
              <a:solidFill>
                <a:schemeClr val="bg1"/>
              </a:solidFill>
            </a:endParaRPr>
          </a:p>
        </xdr:txBody>
      </xdr:sp>
      <xdr:sp macro="" textlink="$U$86">
        <xdr:nvSpPr>
          <xdr:cNvPr id="26" name="Rectangle 25">
            <a:extLst>
              <a:ext uri="{FF2B5EF4-FFF2-40B4-BE49-F238E27FC236}">
                <a16:creationId xmlns:a16="http://schemas.microsoft.com/office/drawing/2014/main" id="{02000250-6906-2928-B55C-3721B35C48E7}"/>
              </a:ext>
            </a:extLst>
          </xdr:cNvPr>
          <xdr:cNvSpPr/>
        </xdr:nvSpPr>
        <xdr:spPr>
          <a:xfrm>
            <a:off x="21107400" y="3124200"/>
            <a:ext cx="8210550" cy="14668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fld id="{099DC61D-6142-4E4F-8297-1F42C953B017}" type="TxLink">
              <a:rPr lang="en-US" sz="2800" b="1" i="0" u="none" strike="noStrike">
                <a:solidFill>
                  <a:srgbClr val="00B0F0"/>
                </a:solidFill>
                <a:latin typeface="Aptos Narrow"/>
              </a:rPr>
              <a:t>Investors uncertainty (late 2024 to present day)</a:t>
            </a:fld>
            <a:endParaRPr lang="en-US" sz="2800" b="1">
              <a:solidFill>
                <a:srgbClr val="00B0F0"/>
              </a:solidFill>
            </a:endParaRPr>
          </a:p>
        </xdr:txBody>
      </xdr:sp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7FB2960C-5DDF-E718-68C1-A77A6AA603FD}"/>
              </a:ext>
            </a:extLst>
          </xdr:cNvPr>
          <xdr:cNvSpPr txBox="1"/>
        </xdr:nvSpPr>
        <xdr:spPr>
          <a:xfrm>
            <a:off x="21107400" y="2305050"/>
            <a:ext cx="9525000" cy="609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5400" b="1">
                <a:solidFill>
                  <a:srgbClr val="00B0F0"/>
                </a:solidFill>
              </a:rPr>
              <a:t>Period</a:t>
            </a:r>
            <a:r>
              <a:rPr lang="en-US" sz="5400" b="1" baseline="0">
                <a:solidFill>
                  <a:srgbClr val="00B0F0"/>
                </a:solidFill>
              </a:rPr>
              <a:t> analysis</a:t>
            </a:r>
            <a:endParaRPr lang="en-US" sz="6500" b="1">
              <a:solidFill>
                <a:srgbClr val="00B0F0"/>
              </a:solidFill>
            </a:endParaRPr>
          </a:p>
        </xdr:txBody>
      </xdr:sp>
      <xdr:pic>
        <xdr:nvPicPr>
          <xdr:cNvPr id="59" name="Graphic 58" descr="Upward trend with solid fill">
            <a:extLst>
              <a:ext uri="{FF2B5EF4-FFF2-40B4-BE49-F238E27FC236}">
                <a16:creationId xmlns:a16="http://schemas.microsoft.com/office/drawing/2014/main" id="{EC4DAB73-AE4D-ABBA-FC85-692BE6D155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1943040" y="8431178"/>
            <a:ext cx="3188970" cy="332350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142131</xdr:colOff>
      <xdr:row>11</xdr:row>
      <xdr:rowOff>99439</xdr:rowOff>
    </xdr:from>
    <xdr:to>
      <xdr:col>4</xdr:col>
      <xdr:colOff>242506</xdr:colOff>
      <xdr:row>14</xdr:row>
      <xdr:rowOff>173704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A5859C43-9644-5A12-BC7C-F84DAFD4DA3A}"/>
            </a:ext>
          </a:extLst>
        </xdr:cNvPr>
        <xdr:cNvGrpSpPr/>
      </xdr:nvGrpSpPr>
      <xdr:grpSpPr>
        <a:xfrm>
          <a:off x="751731" y="2194939"/>
          <a:ext cx="1929175" cy="645765"/>
          <a:chOff x="886145" y="2062721"/>
          <a:chExt cx="1929175" cy="629436"/>
        </a:xfrm>
      </xdr:grpSpPr>
      <xdr:grpSp>
        <xdr:nvGrpSpPr>
          <xdr:cNvPr id="30" name="Group 29">
            <a:extLst>
              <a:ext uri="{FF2B5EF4-FFF2-40B4-BE49-F238E27FC236}">
                <a16:creationId xmlns:a16="http://schemas.microsoft.com/office/drawing/2014/main" id="{CD259080-750C-DC3E-7170-1EF801B2EDAD}"/>
              </a:ext>
            </a:extLst>
          </xdr:cNvPr>
          <xdr:cNvGrpSpPr/>
        </xdr:nvGrpSpPr>
        <xdr:grpSpPr>
          <a:xfrm>
            <a:off x="886145" y="2062721"/>
            <a:ext cx="1929175" cy="629436"/>
            <a:chOff x="833124" y="1771490"/>
            <a:chExt cx="3514625" cy="1556656"/>
          </a:xfrm>
        </xdr:grpSpPr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C45308EC-DB87-E3AA-151C-612D0646A397}"/>
                </a:ext>
              </a:extLst>
            </xdr:cNvPr>
            <xdr:cNvSpPr/>
          </xdr:nvSpPr>
          <xdr:spPr>
            <a:xfrm>
              <a:off x="833124" y="1771490"/>
              <a:ext cx="3514625" cy="1556656"/>
            </a:xfrm>
            <a:prstGeom prst="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>
                  <a:latin typeface="Franklin Gothic Heavy" panose="020B0903020102020204" pitchFamily="34" charset="0"/>
                </a:rPr>
                <a:t>AVERAGE SELIC RATE</a:t>
              </a:r>
            </a:p>
            <a:p>
              <a:pPr algn="l"/>
              <a:endParaRPr lang="en-US" sz="900">
                <a:latin typeface="Franklin Gothic Heavy" panose="020B0903020102020204" pitchFamily="34" charset="0"/>
              </a:endParaRPr>
            </a:p>
          </xdr:txBody>
        </xdr:sp>
        <xdr:sp macro="" textlink="DADOS!B10">
          <xdr:nvSpPr>
            <xdr:cNvPr id="7" name="Rectangle 6">
              <a:extLst>
                <a:ext uri="{FF2B5EF4-FFF2-40B4-BE49-F238E27FC236}">
                  <a16:creationId xmlns:a16="http://schemas.microsoft.com/office/drawing/2014/main" id="{2C244294-3F81-4239-E137-46CD0598FD79}"/>
                </a:ext>
              </a:extLst>
            </xdr:cNvPr>
            <xdr:cNvSpPr/>
          </xdr:nvSpPr>
          <xdr:spPr>
            <a:xfrm>
              <a:off x="2373233" y="2299835"/>
              <a:ext cx="1766281" cy="993172"/>
            </a:xfrm>
            <a:prstGeom prst="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A7A0A03C-8A42-4F71-8F82-B7287FCD4294}" type="TxLink">
                <a:rPr lang="en-US" sz="1800" b="0" i="0" u="none" strike="noStrike">
                  <a:solidFill>
                    <a:srgbClr val="00B0F0"/>
                  </a:solidFill>
                  <a:latin typeface="Aptos Narrow"/>
                </a:rPr>
                <a:t>10%</a:t>
              </a:fld>
              <a:endParaRPr lang="en-US" sz="1800">
                <a:solidFill>
                  <a:srgbClr val="00B0F0"/>
                </a:solidFill>
                <a:latin typeface="Franklin Gothic Demi" panose="020B0703020102020204" pitchFamily="34" charset="0"/>
              </a:endParaRPr>
            </a:p>
          </xdr:txBody>
        </xdr:sp>
      </xdr:grpSp>
      <xdr:pic>
        <xdr:nvPicPr>
          <xdr:cNvPr id="23" name="Graphic 22" descr="Bar chart with solid fill">
            <a:extLst>
              <a:ext uri="{FF2B5EF4-FFF2-40B4-BE49-F238E27FC236}">
                <a16:creationId xmlns:a16="http://schemas.microsoft.com/office/drawing/2014/main" id="{176E1E11-8E1A-A2D6-28AE-030A4E1991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9851" y="2268582"/>
            <a:ext cx="433797" cy="419721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392039</xdr:colOff>
      <xdr:row>11</xdr:row>
      <xdr:rowOff>81521</xdr:rowOff>
    </xdr:from>
    <xdr:to>
      <xdr:col>15</xdr:col>
      <xdr:colOff>492414</xdr:colOff>
      <xdr:row>14</xdr:row>
      <xdr:rowOff>173704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6BBD3311-887B-E370-0163-35043EE30F48}"/>
            </a:ext>
          </a:extLst>
        </xdr:cNvPr>
        <xdr:cNvGrpSpPr/>
      </xdr:nvGrpSpPr>
      <xdr:grpSpPr>
        <a:xfrm>
          <a:off x="7707239" y="2177021"/>
          <a:ext cx="1929175" cy="663683"/>
          <a:chOff x="886145" y="2062721"/>
          <a:chExt cx="1929175" cy="647354"/>
        </a:xfrm>
      </xdr:grpSpPr>
      <xdr:grpSp>
        <xdr:nvGrpSpPr>
          <xdr:cNvPr id="54" name="Group 53">
            <a:extLst>
              <a:ext uri="{FF2B5EF4-FFF2-40B4-BE49-F238E27FC236}">
                <a16:creationId xmlns:a16="http://schemas.microsoft.com/office/drawing/2014/main" id="{DBF44A82-3670-FF01-D5E9-68F7B0322F4B}"/>
              </a:ext>
            </a:extLst>
          </xdr:cNvPr>
          <xdr:cNvGrpSpPr/>
        </xdr:nvGrpSpPr>
        <xdr:grpSpPr>
          <a:xfrm>
            <a:off x="886145" y="2062721"/>
            <a:ext cx="1929175" cy="629436"/>
            <a:chOff x="833124" y="1771490"/>
            <a:chExt cx="3514625" cy="1556656"/>
          </a:xfrm>
        </xdr:grpSpPr>
        <xdr:sp macro="" textlink="">
          <xdr:nvSpPr>
            <xdr:cNvPr id="57" name="Rectangle 56">
              <a:extLst>
                <a:ext uri="{FF2B5EF4-FFF2-40B4-BE49-F238E27FC236}">
                  <a16:creationId xmlns:a16="http://schemas.microsoft.com/office/drawing/2014/main" id="{FA05073F-43C8-A436-F9DE-6C8C7FE941F7}"/>
                </a:ext>
              </a:extLst>
            </xdr:cNvPr>
            <xdr:cNvSpPr/>
          </xdr:nvSpPr>
          <xdr:spPr>
            <a:xfrm>
              <a:off x="833124" y="1771490"/>
              <a:ext cx="3514625" cy="1556656"/>
            </a:xfrm>
            <a:prstGeom prst="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>
                  <a:latin typeface="Franklin Gothic Heavy" panose="020B0903020102020204" pitchFamily="34" charset="0"/>
                </a:rPr>
                <a:t>AVERAGE  IPCA</a:t>
              </a:r>
            </a:p>
          </xdr:txBody>
        </xdr:sp>
        <xdr:sp macro="" textlink="DADOS!B28">
          <xdr:nvSpPr>
            <xdr:cNvPr id="58" name="Rectangle 57">
              <a:extLst>
                <a:ext uri="{FF2B5EF4-FFF2-40B4-BE49-F238E27FC236}">
                  <a16:creationId xmlns:a16="http://schemas.microsoft.com/office/drawing/2014/main" id="{8A449411-FA64-0E5A-FA99-DBD4162A42D3}"/>
                </a:ext>
              </a:extLst>
            </xdr:cNvPr>
            <xdr:cNvSpPr/>
          </xdr:nvSpPr>
          <xdr:spPr>
            <a:xfrm>
              <a:off x="2373233" y="2299835"/>
              <a:ext cx="1766281" cy="993172"/>
            </a:xfrm>
            <a:prstGeom prst="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3F836857-9A6C-4370-ADE4-18A7178CDC8A}" type="TxLink">
                <a:rPr lang="en-US" sz="1800" b="0" i="0" u="none" strike="noStrike">
                  <a:solidFill>
                    <a:srgbClr val="00B0F0"/>
                  </a:solidFill>
                  <a:latin typeface="Aptos Narrow"/>
                </a:rPr>
                <a:t>0,48</a:t>
              </a:fld>
              <a:endParaRPr lang="en-US" sz="1800">
                <a:solidFill>
                  <a:srgbClr val="00B0F0"/>
                </a:solidFill>
                <a:latin typeface="Franklin Gothic Demi" panose="020B0703020102020204" pitchFamily="34" charset="0"/>
              </a:endParaRPr>
            </a:p>
          </xdr:txBody>
        </xdr:sp>
      </xdr:grpSp>
      <xdr:pic>
        <xdr:nvPicPr>
          <xdr:cNvPr id="56" name="Graphic 55" descr="Bar chart with solid fill">
            <a:extLst>
              <a:ext uri="{FF2B5EF4-FFF2-40B4-BE49-F238E27FC236}">
                <a16:creationId xmlns:a16="http://schemas.microsoft.com/office/drawing/2014/main" id="{A6EA1DDA-05E0-36AB-F614-58AC87119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56309" y="2290354"/>
            <a:ext cx="433797" cy="419721"/>
          </a:xfrm>
          <a:prstGeom prst="rect">
            <a:avLst/>
          </a:prstGeom>
        </xdr:spPr>
      </xdr:pic>
    </xdr:grpSp>
    <xdr:clientData/>
  </xdr:twoCellAnchor>
  <xdr:twoCellAnchor>
    <xdr:from>
      <xdr:col>23</xdr:col>
      <xdr:colOff>589510</xdr:colOff>
      <xdr:row>11</xdr:row>
      <xdr:rowOff>81521</xdr:rowOff>
    </xdr:from>
    <xdr:to>
      <xdr:col>27</xdr:col>
      <xdr:colOff>80285</xdr:colOff>
      <xdr:row>14</xdr:row>
      <xdr:rowOff>173704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F9B4B226-9CEA-3DF9-335C-10C7B530CCD7}"/>
            </a:ext>
          </a:extLst>
        </xdr:cNvPr>
        <xdr:cNvGrpSpPr/>
      </xdr:nvGrpSpPr>
      <xdr:grpSpPr>
        <a:xfrm>
          <a:off x="14629360" y="2177021"/>
          <a:ext cx="1929175" cy="663683"/>
          <a:chOff x="886145" y="2062721"/>
          <a:chExt cx="1929175" cy="647354"/>
        </a:xfrm>
      </xdr:grpSpPr>
      <xdr:grpSp>
        <xdr:nvGrpSpPr>
          <xdr:cNvPr id="61" name="Group 60">
            <a:extLst>
              <a:ext uri="{FF2B5EF4-FFF2-40B4-BE49-F238E27FC236}">
                <a16:creationId xmlns:a16="http://schemas.microsoft.com/office/drawing/2014/main" id="{5E542B93-AC71-E23E-68B1-B4A3EB8FBEEE}"/>
              </a:ext>
            </a:extLst>
          </xdr:cNvPr>
          <xdr:cNvGrpSpPr/>
        </xdr:nvGrpSpPr>
        <xdr:grpSpPr>
          <a:xfrm>
            <a:off x="886145" y="2062721"/>
            <a:ext cx="1929175" cy="629436"/>
            <a:chOff x="833124" y="1771490"/>
            <a:chExt cx="3514625" cy="1556656"/>
          </a:xfrm>
        </xdr:grpSpPr>
        <xdr:sp macro="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BE285729-5788-C599-F1C6-E021543C146C}"/>
                </a:ext>
              </a:extLst>
            </xdr:cNvPr>
            <xdr:cNvSpPr/>
          </xdr:nvSpPr>
          <xdr:spPr>
            <a:xfrm>
              <a:off x="833124" y="1771490"/>
              <a:ext cx="3514625" cy="1556656"/>
            </a:xfrm>
            <a:prstGeom prst="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900">
                  <a:latin typeface="Franklin Gothic Heavy" panose="020B0903020102020204" pitchFamily="34" charset="0"/>
                </a:rPr>
                <a:t>AVERAGE DOLLAR</a:t>
              </a:r>
              <a:r>
                <a:rPr lang="en-US" sz="900" baseline="0">
                  <a:latin typeface="Franklin Gothic Heavy" panose="020B0903020102020204" pitchFamily="34" charset="0"/>
                </a:rPr>
                <a:t> EXCHANGE</a:t>
              </a:r>
              <a:endParaRPr lang="en-US" sz="900">
                <a:latin typeface="Franklin Gothic Heavy" panose="020B0903020102020204" pitchFamily="34" charset="0"/>
              </a:endParaRPr>
            </a:p>
          </xdr:txBody>
        </xdr:sp>
        <xdr:sp macro="" textlink="DADOS!L10">
          <xdr:nvSpPr>
            <xdr:cNvPr id="64" name="Rectangle 63">
              <a:extLst>
                <a:ext uri="{FF2B5EF4-FFF2-40B4-BE49-F238E27FC236}">
                  <a16:creationId xmlns:a16="http://schemas.microsoft.com/office/drawing/2014/main" id="{ED1DAE4A-C6C6-79CD-01B2-F976C763CD9E}"/>
                </a:ext>
              </a:extLst>
            </xdr:cNvPr>
            <xdr:cNvSpPr/>
          </xdr:nvSpPr>
          <xdr:spPr>
            <a:xfrm>
              <a:off x="2373233" y="2299835"/>
              <a:ext cx="1766281" cy="993172"/>
            </a:xfrm>
            <a:prstGeom prst="rect">
              <a:avLst/>
            </a:prstGeom>
            <a:solidFill>
              <a:schemeClr val="tx1">
                <a:lumMod val="85000"/>
                <a:lumOff val="15000"/>
              </a:schemeClr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fld id="{76E5F4D9-7F66-4493-B07E-612B232915CE}" type="TxLink">
                <a:rPr lang="en-US" sz="1800" b="0" i="0" u="none" strike="noStrike">
                  <a:solidFill>
                    <a:srgbClr val="00B0F0"/>
                  </a:solidFill>
                  <a:latin typeface="Aptos Narrow"/>
                </a:rPr>
                <a:t> R$ 5,31 </a:t>
              </a:fld>
              <a:endParaRPr lang="en-US" sz="1800">
                <a:solidFill>
                  <a:srgbClr val="00B0F0"/>
                </a:solidFill>
                <a:latin typeface="Franklin Gothic Demi" panose="020B0703020102020204" pitchFamily="34" charset="0"/>
              </a:endParaRPr>
            </a:p>
          </xdr:txBody>
        </xdr:sp>
      </xdr:grpSp>
      <xdr:pic>
        <xdr:nvPicPr>
          <xdr:cNvPr id="62" name="Graphic 61" descr="Bar chart with solid fill">
            <a:extLst>
              <a:ext uri="{FF2B5EF4-FFF2-40B4-BE49-F238E27FC236}">
                <a16:creationId xmlns:a16="http://schemas.microsoft.com/office/drawing/2014/main" id="{E52D16D3-C4FB-F2EC-7E66-D98846064C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56309" y="2290354"/>
            <a:ext cx="433797" cy="419721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217574</xdr:colOff>
      <xdr:row>44</xdr:row>
      <xdr:rowOff>18216</xdr:rowOff>
    </xdr:from>
    <xdr:to>
      <xdr:col>32</xdr:col>
      <xdr:colOff>475574</xdr:colOff>
      <xdr:row>62</xdr:row>
      <xdr:rowOff>93384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942ACD8D-7777-B6F0-7D84-1D2ECC0E66E2}"/>
            </a:ext>
          </a:extLst>
        </xdr:cNvPr>
        <xdr:cNvGrpSpPr/>
      </xdr:nvGrpSpPr>
      <xdr:grpSpPr>
        <a:xfrm>
          <a:off x="13647824" y="8400216"/>
          <a:ext cx="6354000" cy="3504168"/>
          <a:chOff x="13647824" y="8398311"/>
          <a:chExt cx="6354000" cy="3504168"/>
        </a:xfrm>
      </xdr:grpSpPr>
      <xdr:graphicFrame macro="">
        <xdr:nvGraphicFramePr>
          <xdr:cNvPr id="51" name="Chart 50">
            <a:extLst>
              <a:ext uri="{FF2B5EF4-FFF2-40B4-BE49-F238E27FC236}">
                <a16:creationId xmlns:a16="http://schemas.microsoft.com/office/drawing/2014/main" id="{6DB8A255-266A-44E4-B8C4-0A28A1AFEA4B}"/>
              </a:ext>
            </a:extLst>
          </xdr:cNvPr>
          <xdr:cNvGraphicFramePr>
            <a:graphicFrameLocks/>
          </xdr:cNvGraphicFramePr>
        </xdr:nvGraphicFramePr>
        <xdr:xfrm>
          <a:off x="13647824" y="9238479"/>
          <a:ext cx="6354000" cy="266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pSp>
        <xdr:nvGrpSpPr>
          <xdr:cNvPr id="65" name="Group 64">
            <a:extLst>
              <a:ext uri="{FF2B5EF4-FFF2-40B4-BE49-F238E27FC236}">
                <a16:creationId xmlns:a16="http://schemas.microsoft.com/office/drawing/2014/main" id="{2000A7F5-EE88-6F3A-317D-467AF89055CF}"/>
              </a:ext>
            </a:extLst>
          </xdr:cNvPr>
          <xdr:cNvGrpSpPr/>
        </xdr:nvGrpSpPr>
        <xdr:grpSpPr>
          <a:xfrm>
            <a:off x="13647824" y="8398311"/>
            <a:ext cx="1929175" cy="645765"/>
            <a:chOff x="886145" y="2062721"/>
            <a:chExt cx="1929175" cy="629436"/>
          </a:xfrm>
        </xdr:grpSpPr>
        <xdr:grpSp>
          <xdr:nvGrpSpPr>
            <xdr:cNvPr id="66" name="Group 65">
              <a:extLst>
                <a:ext uri="{FF2B5EF4-FFF2-40B4-BE49-F238E27FC236}">
                  <a16:creationId xmlns:a16="http://schemas.microsoft.com/office/drawing/2014/main" id="{0207B486-6EB9-250C-F687-465E8C914ED9}"/>
                </a:ext>
              </a:extLst>
            </xdr:cNvPr>
            <xdr:cNvGrpSpPr/>
          </xdr:nvGrpSpPr>
          <xdr:grpSpPr>
            <a:xfrm>
              <a:off x="886145" y="2062721"/>
              <a:ext cx="1929175" cy="629436"/>
              <a:chOff x="833124" y="1771490"/>
              <a:chExt cx="3514625" cy="1556656"/>
            </a:xfrm>
          </xdr:grpSpPr>
          <xdr:sp macro="" textlink="">
            <xdr:nvSpPr>
              <xdr:cNvPr id="72" name="Rectangle 71">
                <a:extLst>
                  <a:ext uri="{FF2B5EF4-FFF2-40B4-BE49-F238E27FC236}">
                    <a16:creationId xmlns:a16="http://schemas.microsoft.com/office/drawing/2014/main" id="{7D11EDE2-6CB7-9C63-A6B0-54BBD97FE249}"/>
                  </a:ext>
                </a:extLst>
              </xdr:cNvPr>
              <xdr:cNvSpPr/>
            </xdr:nvSpPr>
            <xdr:spPr>
              <a:xfrm>
                <a:off x="833124" y="1771490"/>
                <a:ext cx="3514625" cy="1556656"/>
              </a:xfrm>
              <a:prstGeom prst="rect">
                <a:avLst/>
              </a:prstGeom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900">
                    <a:latin typeface="Franklin Gothic Heavy" panose="020B0903020102020204" pitchFamily="34" charset="0"/>
                  </a:rPr>
                  <a:t>AVERAGE DOLLAR EXCHANGE</a:t>
                </a:r>
              </a:p>
              <a:p>
                <a:pPr algn="l"/>
                <a:endParaRPr lang="en-US" sz="900">
                  <a:latin typeface="Franklin Gothic Heavy" panose="020B0903020102020204" pitchFamily="34" charset="0"/>
                </a:endParaRPr>
              </a:p>
            </xdr:txBody>
          </xdr:sp>
          <xdr:sp macro="" textlink="DADOS!P16">
            <xdr:nvSpPr>
              <xdr:cNvPr id="73" name="Rectangle 72">
                <a:extLst>
                  <a:ext uri="{FF2B5EF4-FFF2-40B4-BE49-F238E27FC236}">
                    <a16:creationId xmlns:a16="http://schemas.microsoft.com/office/drawing/2014/main" id="{B212B134-3572-993C-8551-8F70DBD8A3AF}"/>
                  </a:ext>
                </a:extLst>
              </xdr:cNvPr>
              <xdr:cNvSpPr/>
            </xdr:nvSpPr>
            <xdr:spPr>
              <a:xfrm>
                <a:off x="2373233" y="2299835"/>
                <a:ext cx="1766281" cy="993172"/>
              </a:xfrm>
              <a:prstGeom prst="rect">
                <a:avLst/>
              </a:prstGeom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b"/>
              <a:lstStyle/>
              <a:p>
                <a:pPr algn="r"/>
                <a:fld id="{28B4B9CE-5A95-43BC-BDC1-3B415C260E24}" type="TxLink">
                  <a:rPr lang="en-US" sz="1800" b="0" i="0" u="none" strike="noStrike">
                    <a:solidFill>
                      <a:srgbClr val="00B0F0"/>
                    </a:solidFill>
                    <a:latin typeface="Aptos Narrow"/>
                  </a:rPr>
                  <a:t> R$ 5,76 </a:t>
                </a:fld>
                <a:endParaRPr lang="en-US" sz="1800">
                  <a:solidFill>
                    <a:srgbClr val="00B0F0"/>
                  </a:solidFill>
                  <a:latin typeface="Franklin Gothic Demi" panose="020B0703020102020204" pitchFamily="34" charset="0"/>
                </a:endParaRPr>
              </a:p>
            </xdr:txBody>
          </xdr:sp>
        </xdr:grpSp>
        <xdr:pic>
          <xdr:nvPicPr>
            <xdr:cNvPr id="67" name="Graphic 66" descr="Bar chart with solid fill">
              <a:extLst>
                <a:ext uri="{FF2B5EF4-FFF2-40B4-BE49-F238E27FC236}">
                  <a16:creationId xmlns:a16="http://schemas.microsoft.com/office/drawing/2014/main" id="{7B5FEE45-D370-5220-D13B-E638DE9E8D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999851" y="2268582"/>
              <a:ext cx="433797" cy="41972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11</xdr:col>
      <xdr:colOff>282960</xdr:colOff>
      <xdr:row>44</xdr:row>
      <xdr:rowOff>45925</xdr:rowOff>
    </xdr:from>
    <xdr:to>
      <xdr:col>21</xdr:col>
      <xdr:colOff>521910</xdr:colOff>
      <xdr:row>62</xdr:row>
      <xdr:rowOff>93384</xdr:rowOff>
    </xdr:to>
    <xdr:grpSp>
      <xdr:nvGrpSpPr>
        <xdr:cNvPr id="85" name="Group 84">
          <a:extLst>
            <a:ext uri="{FF2B5EF4-FFF2-40B4-BE49-F238E27FC236}">
              <a16:creationId xmlns:a16="http://schemas.microsoft.com/office/drawing/2014/main" id="{52A1B3F2-D592-D527-6FBB-F3D044AA4530}"/>
            </a:ext>
          </a:extLst>
        </xdr:cNvPr>
        <xdr:cNvGrpSpPr/>
      </xdr:nvGrpSpPr>
      <xdr:grpSpPr>
        <a:xfrm>
          <a:off x="6988560" y="8427925"/>
          <a:ext cx="6354000" cy="3476459"/>
          <a:chOff x="6988560" y="8426021"/>
          <a:chExt cx="6354000" cy="3476459"/>
        </a:xfrm>
      </xdr:grpSpPr>
      <xdr:graphicFrame macro="">
        <xdr:nvGraphicFramePr>
          <xdr:cNvPr id="13" name="Chart 12">
            <a:extLst>
              <a:ext uri="{FF2B5EF4-FFF2-40B4-BE49-F238E27FC236}">
                <a16:creationId xmlns:a16="http://schemas.microsoft.com/office/drawing/2014/main" id="{FD4E6B0F-4596-4217-8060-380D124B8F8C}"/>
              </a:ext>
            </a:extLst>
          </xdr:cNvPr>
          <xdr:cNvGraphicFramePr>
            <a:graphicFrameLocks/>
          </xdr:cNvGraphicFramePr>
        </xdr:nvGraphicFramePr>
        <xdr:xfrm>
          <a:off x="6988560" y="9238480"/>
          <a:ext cx="6354000" cy="2664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pSp>
        <xdr:nvGrpSpPr>
          <xdr:cNvPr id="74" name="Group 73">
            <a:extLst>
              <a:ext uri="{FF2B5EF4-FFF2-40B4-BE49-F238E27FC236}">
                <a16:creationId xmlns:a16="http://schemas.microsoft.com/office/drawing/2014/main" id="{4CB3BBA6-6C98-9DA5-5458-F0FF9A551AC7}"/>
              </a:ext>
            </a:extLst>
          </xdr:cNvPr>
          <xdr:cNvGrpSpPr/>
        </xdr:nvGrpSpPr>
        <xdr:grpSpPr>
          <a:xfrm>
            <a:off x="6988561" y="8426021"/>
            <a:ext cx="1929175" cy="645765"/>
            <a:chOff x="886145" y="2062721"/>
            <a:chExt cx="1929175" cy="629436"/>
          </a:xfrm>
        </xdr:grpSpPr>
        <xdr:grpSp>
          <xdr:nvGrpSpPr>
            <xdr:cNvPr id="75" name="Group 74">
              <a:extLst>
                <a:ext uri="{FF2B5EF4-FFF2-40B4-BE49-F238E27FC236}">
                  <a16:creationId xmlns:a16="http://schemas.microsoft.com/office/drawing/2014/main" id="{1A7BC811-C27F-DE5E-3FF4-7D33E34E8F23}"/>
                </a:ext>
              </a:extLst>
            </xdr:cNvPr>
            <xdr:cNvGrpSpPr/>
          </xdr:nvGrpSpPr>
          <xdr:grpSpPr>
            <a:xfrm>
              <a:off x="886145" y="2062721"/>
              <a:ext cx="1929175" cy="629436"/>
              <a:chOff x="833124" y="1771490"/>
              <a:chExt cx="3514625" cy="1556656"/>
            </a:xfrm>
          </xdr:grpSpPr>
          <xdr:sp macro="" textlink="">
            <xdr:nvSpPr>
              <xdr:cNvPr id="77" name="Rectangle 76">
                <a:extLst>
                  <a:ext uri="{FF2B5EF4-FFF2-40B4-BE49-F238E27FC236}">
                    <a16:creationId xmlns:a16="http://schemas.microsoft.com/office/drawing/2014/main" id="{781EF96F-164C-22A8-B45B-A74768FE63B3}"/>
                  </a:ext>
                </a:extLst>
              </xdr:cNvPr>
              <xdr:cNvSpPr/>
            </xdr:nvSpPr>
            <xdr:spPr>
              <a:xfrm>
                <a:off x="833124" y="1771490"/>
                <a:ext cx="3514625" cy="1556656"/>
              </a:xfrm>
              <a:prstGeom prst="rect">
                <a:avLst/>
              </a:prstGeom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900">
                    <a:latin typeface="Franklin Gothic Heavy" panose="020B0903020102020204" pitchFamily="34" charset="0"/>
                  </a:rPr>
                  <a:t>AVEGRAGE IPCA</a:t>
                </a:r>
              </a:p>
              <a:p>
                <a:pPr algn="l"/>
                <a:endParaRPr lang="en-US" sz="900">
                  <a:latin typeface="Franklin Gothic Heavy" panose="020B0903020102020204" pitchFamily="34" charset="0"/>
                </a:endParaRPr>
              </a:p>
            </xdr:txBody>
          </xdr:sp>
          <xdr:sp macro="" textlink="DADOS!F34">
            <xdr:nvSpPr>
              <xdr:cNvPr id="78" name="Rectangle 77">
                <a:extLst>
                  <a:ext uri="{FF2B5EF4-FFF2-40B4-BE49-F238E27FC236}">
                    <a16:creationId xmlns:a16="http://schemas.microsoft.com/office/drawing/2014/main" id="{2296D69C-D700-7CCB-1D97-67640B600370}"/>
                  </a:ext>
                </a:extLst>
              </xdr:cNvPr>
              <xdr:cNvSpPr/>
            </xdr:nvSpPr>
            <xdr:spPr>
              <a:xfrm>
                <a:off x="2373233" y="2299835"/>
                <a:ext cx="1766281" cy="993172"/>
              </a:xfrm>
              <a:prstGeom prst="rect">
                <a:avLst/>
              </a:prstGeom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b"/>
              <a:lstStyle/>
              <a:p>
                <a:pPr algn="r"/>
                <a:fld id="{B70871E3-DB63-44C4-B7B2-EE85D62CAC1D}" type="TxLink">
                  <a:rPr lang="en-US" sz="1800" b="0" i="0" u="none" strike="noStrike">
                    <a:solidFill>
                      <a:srgbClr val="00B0F0"/>
                    </a:solidFill>
                    <a:latin typeface="Aptos Narrow"/>
                  </a:rPr>
                  <a:t>0,49</a:t>
                </a:fld>
                <a:endParaRPr lang="en-US" sz="1800">
                  <a:solidFill>
                    <a:srgbClr val="00B0F0"/>
                  </a:solidFill>
                  <a:latin typeface="Franklin Gothic Demi" panose="020B0703020102020204" pitchFamily="34" charset="0"/>
                </a:endParaRPr>
              </a:p>
            </xdr:txBody>
          </xdr:sp>
        </xdr:grpSp>
        <xdr:pic>
          <xdr:nvPicPr>
            <xdr:cNvPr id="76" name="Graphic 75" descr="Bar chart with solid fill">
              <a:extLst>
                <a:ext uri="{FF2B5EF4-FFF2-40B4-BE49-F238E27FC236}">
                  <a16:creationId xmlns:a16="http://schemas.microsoft.com/office/drawing/2014/main" id="{B0618394-341F-848F-34B0-BF87D4443D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999851" y="2268582"/>
              <a:ext cx="433797" cy="41972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360196</xdr:colOff>
      <xdr:row>44</xdr:row>
      <xdr:rowOff>71730</xdr:rowOff>
    </xdr:from>
    <xdr:to>
      <xdr:col>11</xdr:col>
      <xdr:colOff>7978</xdr:colOff>
      <xdr:row>62</xdr:row>
      <xdr:rowOff>93384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6E949F0C-1C4D-4296-58C6-8750481DB297}"/>
            </a:ext>
          </a:extLst>
        </xdr:cNvPr>
        <xdr:cNvGrpSpPr/>
      </xdr:nvGrpSpPr>
      <xdr:grpSpPr>
        <a:xfrm>
          <a:off x="360196" y="8453730"/>
          <a:ext cx="6353382" cy="3450654"/>
          <a:chOff x="360196" y="8453730"/>
          <a:chExt cx="6353382" cy="3450654"/>
        </a:xfrm>
      </xdr:grpSpPr>
      <xdr:graphicFrame macro="">
        <xdr:nvGraphicFramePr>
          <xdr:cNvPr id="69" name="Chart 68">
            <a:extLst>
              <a:ext uri="{FF2B5EF4-FFF2-40B4-BE49-F238E27FC236}">
                <a16:creationId xmlns:a16="http://schemas.microsoft.com/office/drawing/2014/main" id="{91F5F0AF-3319-4F8A-9BC4-611DDC510051}"/>
              </a:ext>
            </a:extLst>
          </xdr:cNvPr>
          <xdr:cNvGraphicFramePr>
            <a:graphicFrameLocks/>
          </xdr:cNvGraphicFramePr>
        </xdr:nvGraphicFramePr>
        <xdr:xfrm>
          <a:off x="360196" y="9238480"/>
          <a:ext cx="6353382" cy="26659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pSp>
        <xdr:nvGrpSpPr>
          <xdr:cNvPr id="79" name="Group 78">
            <a:extLst>
              <a:ext uri="{FF2B5EF4-FFF2-40B4-BE49-F238E27FC236}">
                <a16:creationId xmlns:a16="http://schemas.microsoft.com/office/drawing/2014/main" id="{E7D3698C-81D5-7CCE-5B5B-61B62BC4416D}"/>
              </a:ext>
            </a:extLst>
          </xdr:cNvPr>
          <xdr:cNvGrpSpPr/>
        </xdr:nvGrpSpPr>
        <xdr:grpSpPr>
          <a:xfrm>
            <a:off x="360196" y="8453730"/>
            <a:ext cx="1929175" cy="645765"/>
            <a:chOff x="886145" y="2062721"/>
            <a:chExt cx="1929175" cy="629436"/>
          </a:xfrm>
        </xdr:grpSpPr>
        <xdr:grpSp>
          <xdr:nvGrpSpPr>
            <xdr:cNvPr id="80" name="Group 79">
              <a:extLst>
                <a:ext uri="{FF2B5EF4-FFF2-40B4-BE49-F238E27FC236}">
                  <a16:creationId xmlns:a16="http://schemas.microsoft.com/office/drawing/2014/main" id="{73A6F365-E6A2-0A7F-77D9-E05883AF9116}"/>
                </a:ext>
              </a:extLst>
            </xdr:cNvPr>
            <xdr:cNvGrpSpPr/>
          </xdr:nvGrpSpPr>
          <xdr:grpSpPr>
            <a:xfrm>
              <a:off x="886145" y="2062721"/>
              <a:ext cx="1929175" cy="629436"/>
              <a:chOff x="833124" y="1771490"/>
              <a:chExt cx="3514625" cy="1556656"/>
            </a:xfrm>
          </xdr:grpSpPr>
          <xdr:sp macro="" textlink="">
            <xdr:nvSpPr>
              <xdr:cNvPr id="82" name="Rectangle 81">
                <a:extLst>
                  <a:ext uri="{FF2B5EF4-FFF2-40B4-BE49-F238E27FC236}">
                    <a16:creationId xmlns:a16="http://schemas.microsoft.com/office/drawing/2014/main" id="{8F2E0833-A19F-D101-4F50-DCF911EBEF8C}"/>
                  </a:ext>
                </a:extLst>
              </xdr:cNvPr>
              <xdr:cNvSpPr/>
            </xdr:nvSpPr>
            <xdr:spPr>
              <a:xfrm>
                <a:off x="833124" y="1771490"/>
                <a:ext cx="3514625" cy="1556656"/>
              </a:xfrm>
              <a:prstGeom prst="rect">
                <a:avLst/>
              </a:prstGeom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r>
                  <a:rPr lang="en-US" sz="900">
                    <a:latin typeface="Franklin Gothic Heavy" panose="020B0903020102020204" pitchFamily="34" charset="0"/>
                  </a:rPr>
                  <a:t>AVERAGE SELIC RATE</a:t>
                </a:r>
              </a:p>
              <a:p>
                <a:pPr algn="l"/>
                <a:endParaRPr lang="en-US" sz="900">
                  <a:latin typeface="Franklin Gothic Heavy" panose="020B0903020102020204" pitchFamily="34" charset="0"/>
                </a:endParaRPr>
              </a:p>
            </xdr:txBody>
          </xdr:sp>
          <xdr:sp macro="" textlink="DADOS!F17">
            <xdr:nvSpPr>
              <xdr:cNvPr id="83" name="Rectangle 82">
                <a:extLst>
                  <a:ext uri="{FF2B5EF4-FFF2-40B4-BE49-F238E27FC236}">
                    <a16:creationId xmlns:a16="http://schemas.microsoft.com/office/drawing/2014/main" id="{ACEE0770-0CB4-69FA-67B6-092B3438BF36}"/>
                  </a:ext>
                </a:extLst>
              </xdr:cNvPr>
              <xdr:cNvSpPr/>
            </xdr:nvSpPr>
            <xdr:spPr>
              <a:xfrm>
                <a:off x="2373233" y="2299835"/>
                <a:ext cx="1766281" cy="993172"/>
              </a:xfrm>
              <a:prstGeom prst="rect">
                <a:avLst/>
              </a:prstGeom>
              <a:solidFill>
                <a:schemeClr val="tx1">
                  <a:lumMod val="85000"/>
                  <a:lumOff val="15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b"/>
              <a:lstStyle/>
              <a:p>
                <a:pPr algn="r"/>
                <a:fld id="{FE83B592-786C-415D-A481-2F0CDB2217D8}" type="TxLink">
                  <a:rPr lang="en-US" sz="1800" b="0" i="0" u="none" strike="noStrike">
                    <a:solidFill>
                      <a:srgbClr val="00B0F0"/>
                    </a:solidFill>
                    <a:latin typeface="Aptos Narrow"/>
                  </a:rPr>
                  <a:t>14%</a:t>
                </a:fld>
                <a:endParaRPr lang="en-US" sz="1800">
                  <a:solidFill>
                    <a:srgbClr val="00B0F0"/>
                  </a:solidFill>
                  <a:latin typeface="Franklin Gothic Demi" panose="020B0703020102020204" pitchFamily="34" charset="0"/>
                </a:endParaRPr>
              </a:p>
            </xdr:txBody>
          </xdr:sp>
        </xdr:grpSp>
        <xdr:pic>
          <xdr:nvPicPr>
            <xdr:cNvPr id="81" name="Graphic 80" descr="Bar chart with solid fill">
              <a:extLst>
                <a:ext uri="{FF2B5EF4-FFF2-40B4-BE49-F238E27FC236}">
                  <a16:creationId xmlns:a16="http://schemas.microsoft.com/office/drawing/2014/main" id="{DD2538E0-B0DB-B571-931E-45B02D6992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999851" y="2268582"/>
              <a:ext cx="433797" cy="419721"/>
            </a:xfrm>
            <a:prstGeom prst="rect">
              <a:avLst/>
            </a:prstGeom>
          </xdr:spPr>
        </xdr:pic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44EC7-01E1-489B-9B9F-848AEBBE8D73}">
  <sheetPr codeName="Sheet1"/>
  <dimension ref="A1:Q1392"/>
  <sheetViews>
    <sheetView zoomScale="85" zoomScaleNormal="85" workbookViewId="0">
      <selection activeCell="F35" sqref="F35"/>
    </sheetView>
  </sheetViews>
  <sheetFormatPr defaultRowHeight="14.4" x14ac:dyDescent="0.3"/>
  <cols>
    <col min="9" max="9" width="9.21875" bestFit="1" customWidth="1"/>
    <col min="10" max="10" width="9.21875" customWidth="1"/>
    <col min="11" max="11" width="10.33203125" bestFit="1" customWidth="1"/>
    <col min="12" max="12" width="16" hidden="1" customWidth="1"/>
    <col min="13" max="13" width="11.88671875" hidden="1" customWidth="1"/>
    <col min="14" max="14" width="11.88671875" customWidth="1"/>
    <col min="15" max="15" width="10.5546875" style="3" bestFit="1" customWidth="1"/>
    <col min="19" max="19" width="23.88671875" customWidth="1"/>
  </cols>
  <sheetData>
    <row r="1" spans="1:17" x14ac:dyDescent="0.3">
      <c r="A1" s="27" t="s">
        <v>4</v>
      </c>
      <c r="B1" s="27"/>
      <c r="C1" s="27"/>
      <c r="D1" s="27"/>
      <c r="F1" s="27" t="s">
        <v>7</v>
      </c>
      <c r="G1" s="27"/>
      <c r="H1" s="27"/>
      <c r="I1" s="27"/>
      <c r="J1" s="18"/>
      <c r="L1" s="19" t="s">
        <v>13</v>
      </c>
      <c r="M1" s="19"/>
      <c r="N1" s="27" t="s">
        <v>13</v>
      </c>
      <c r="O1" s="27"/>
      <c r="P1" s="27"/>
      <c r="Q1" s="27"/>
    </row>
    <row r="2" spans="1:17" x14ac:dyDescent="0.3">
      <c r="A2" t="s">
        <v>0</v>
      </c>
      <c r="B2" t="s">
        <v>1</v>
      </c>
      <c r="C2" t="s">
        <v>5</v>
      </c>
      <c r="D2" t="s">
        <v>15</v>
      </c>
      <c r="F2" t="s">
        <v>0</v>
      </c>
      <c r="G2" t="s">
        <v>19</v>
      </c>
      <c r="H2" t="s">
        <v>5</v>
      </c>
      <c r="I2" t="s">
        <v>15</v>
      </c>
      <c r="M2" s="16" t="s">
        <v>9</v>
      </c>
      <c r="N2" s="16" t="s">
        <v>0</v>
      </c>
      <c r="O2" s="16" t="s">
        <v>14</v>
      </c>
      <c r="P2" s="16" t="s">
        <v>16</v>
      </c>
      <c r="Q2" s="16" t="s">
        <v>15</v>
      </c>
    </row>
    <row r="3" spans="1:17" x14ac:dyDescent="0.3">
      <c r="A3" s="1">
        <v>43831</v>
      </c>
      <c r="B3" s="10">
        <v>4.4999999999999998E-2</v>
      </c>
      <c r="C3" s="25">
        <v>0</v>
      </c>
      <c r="D3">
        <f t="shared" ref="D3:D34" si="0">YEAR(A3)</f>
        <v>2020</v>
      </c>
      <c r="F3" s="1">
        <v>43831</v>
      </c>
      <c r="G3">
        <v>0.21</v>
      </c>
      <c r="H3">
        <v>0</v>
      </c>
      <c r="I3">
        <f t="shared" ref="I3:I34" si="1">YEAR(F3)</f>
        <v>2020</v>
      </c>
      <c r="M3" s="14">
        <v>1</v>
      </c>
      <c r="N3" s="17">
        <f t="shared" ref="N3:N34" si="2">DATE(Q3,M3,1)</f>
        <v>43831</v>
      </c>
      <c r="O3" s="15">
        <v>4.1494636363636364</v>
      </c>
      <c r="P3" s="14">
        <v>0</v>
      </c>
      <c r="Q3" s="14">
        <v>2020</v>
      </c>
    </row>
    <row r="4" spans="1:17" x14ac:dyDescent="0.3">
      <c r="A4" s="1">
        <v>43862</v>
      </c>
      <c r="B4" s="10">
        <v>4.2931034479999998E-2</v>
      </c>
      <c r="C4" s="25">
        <f t="shared" ref="C4:C35" si="3">B4-B3</f>
        <v>-2.0689655200000004E-3</v>
      </c>
      <c r="D4">
        <f t="shared" si="0"/>
        <v>2020</v>
      </c>
      <c r="F4" s="1">
        <v>43862</v>
      </c>
      <c r="G4">
        <v>0.25</v>
      </c>
      <c r="H4">
        <f t="shared" ref="H4:H35" si="4">G4-G3</f>
        <v>4.0000000000000008E-2</v>
      </c>
      <c r="I4">
        <f t="shared" si="1"/>
        <v>2020</v>
      </c>
      <c r="M4" s="14">
        <v>2</v>
      </c>
      <c r="N4" s="17">
        <f t="shared" si="2"/>
        <v>43862</v>
      </c>
      <c r="O4" s="15">
        <v>4.3410111111111114</v>
      </c>
      <c r="P4" s="9">
        <f>O4-O3</f>
        <v>0.19154747474747502</v>
      </c>
      <c r="Q4" s="14">
        <v>2020</v>
      </c>
    </row>
    <row r="5" spans="1:17" x14ac:dyDescent="0.3">
      <c r="A5" s="1">
        <v>43891</v>
      </c>
      <c r="B5" s="10">
        <v>4.0403225809999999E-2</v>
      </c>
      <c r="C5" s="25">
        <f t="shared" si="3"/>
        <v>-2.5278086699999994E-3</v>
      </c>
      <c r="D5">
        <f t="shared" si="0"/>
        <v>2020</v>
      </c>
      <c r="F5" s="1">
        <v>43891</v>
      </c>
      <c r="G5">
        <v>7.0000000000000007E-2</v>
      </c>
      <c r="H5">
        <f t="shared" si="4"/>
        <v>-0.18</v>
      </c>
      <c r="I5">
        <f t="shared" si="1"/>
        <v>2020</v>
      </c>
      <c r="M5" s="14">
        <v>3</v>
      </c>
      <c r="N5" s="17">
        <f t="shared" si="2"/>
        <v>43891</v>
      </c>
      <c r="O5" s="15">
        <v>4.883854545454545</v>
      </c>
      <c r="P5" s="9">
        <f t="shared" ref="P5:P68" si="5">O5-O4</f>
        <v>0.54284343434343363</v>
      </c>
      <c r="Q5" s="14">
        <v>2020</v>
      </c>
    </row>
    <row r="6" spans="1:17" x14ac:dyDescent="0.3">
      <c r="A6" s="1">
        <v>43922</v>
      </c>
      <c r="B6" s="10">
        <v>3.7499999999999999E-2</v>
      </c>
      <c r="C6" s="25">
        <f t="shared" si="3"/>
        <v>-2.90322581E-3</v>
      </c>
      <c r="D6">
        <f t="shared" si="0"/>
        <v>2020</v>
      </c>
      <c r="F6" s="1">
        <v>43922</v>
      </c>
      <c r="G6">
        <v>-0.31</v>
      </c>
      <c r="H6">
        <f t="shared" si="4"/>
        <v>-0.38</v>
      </c>
      <c r="I6">
        <f t="shared" si="1"/>
        <v>2020</v>
      </c>
      <c r="M6" s="14">
        <v>4</v>
      </c>
      <c r="N6" s="17">
        <f t="shared" si="2"/>
        <v>43922</v>
      </c>
      <c r="O6" s="15">
        <v>5.3255799999999995</v>
      </c>
      <c r="P6" s="9">
        <f t="shared" si="5"/>
        <v>0.44172545454545453</v>
      </c>
      <c r="Q6" s="14">
        <v>2020</v>
      </c>
    </row>
    <row r="7" spans="1:17" x14ac:dyDescent="0.3">
      <c r="A7" s="1">
        <v>43952</v>
      </c>
      <c r="B7" s="10">
        <v>3.1451612900000002E-2</v>
      </c>
      <c r="C7" s="25">
        <f t="shared" si="3"/>
        <v>-6.0483870999999967E-3</v>
      </c>
      <c r="D7">
        <f t="shared" si="0"/>
        <v>2020</v>
      </c>
      <c r="F7" s="1">
        <v>43952</v>
      </c>
      <c r="G7">
        <v>-0.38</v>
      </c>
      <c r="H7">
        <f t="shared" si="4"/>
        <v>-7.0000000000000007E-2</v>
      </c>
      <c r="I7">
        <f t="shared" si="1"/>
        <v>2020</v>
      </c>
      <c r="M7" s="14">
        <v>5</v>
      </c>
      <c r="N7" s="17">
        <f t="shared" si="2"/>
        <v>43952</v>
      </c>
      <c r="O7" s="15">
        <v>5.6434449999999998</v>
      </c>
      <c r="P7" s="9">
        <f t="shared" si="5"/>
        <v>0.31786500000000029</v>
      </c>
      <c r="Q7" s="14">
        <v>2020</v>
      </c>
    </row>
    <row r="8" spans="1:17" x14ac:dyDescent="0.3">
      <c r="A8" s="1">
        <v>43983</v>
      </c>
      <c r="B8" s="10">
        <v>2.6749999999999999E-2</v>
      </c>
      <c r="C8" s="25">
        <f t="shared" si="3"/>
        <v>-4.7016129000000025E-3</v>
      </c>
      <c r="D8">
        <f t="shared" si="0"/>
        <v>2020</v>
      </c>
      <c r="F8" s="1">
        <v>43983</v>
      </c>
      <c r="G8">
        <v>0.26</v>
      </c>
      <c r="H8">
        <f t="shared" si="4"/>
        <v>0.64</v>
      </c>
      <c r="I8">
        <f t="shared" si="1"/>
        <v>2020</v>
      </c>
      <c r="M8" s="14">
        <v>6</v>
      </c>
      <c r="N8" s="17">
        <f t="shared" si="2"/>
        <v>43983</v>
      </c>
      <c r="O8" s="15">
        <v>5.1966000000000001</v>
      </c>
      <c r="P8" s="9">
        <f t="shared" si="5"/>
        <v>-0.44684499999999971</v>
      </c>
      <c r="Q8" s="14">
        <v>2020</v>
      </c>
    </row>
    <row r="9" spans="1:17" x14ac:dyDescent="0.3">
      <c r="A9" s="1">
        <v>44013</v>
      </c>
      <c r="B9" s="10">
        <v>2.2499999999999999E-2</v>
      </c>
      <c r="C9" s="25">
        <f t="shared" si="3"/>
        <v>-4.2500000000000003E-3</v>
      </c>
      <c r="D9">
        <f t="shared" si="0"/>
        <v>2020</v>
      </c>
      <c r="F9" s="1">
        <v>44013</v>
      </c>
      <c r="G9">
        <v>0.36</v>
      </c>
      <c r="H9">
        <f t="shared" si="4"/>
        <v>9.9999999999999978E-2</v>
      </c>
      <c r="I9">
        <f t="shared" si="1"/>
        <v>2020</v>
      </c>
      <c r="M9" s="14">
        <v>7</v>
      </c>
      <c r="N9" s="17">
        <f t="shared" si="2"/>
        <v>44013</v>
      </c>
      <c r="O9" s="15">
        <v>5.2801913043478264</v>
      </c>
      <c r="P9" s="9">
        <f t="shared" si="5"/>
        <v>8.3591304347826245E-2</v>
      </c>
      <c r="Q9" s="14">
        <v>2020</v>
      </c>
    </row>
    <row r="10" spans="1:17" x14ac:dyDescent="0.3">
      <c r="A10" s="1">
        <v>44044</v>
      </c>
      <c r="B10" s="10">
        <v>2.0403225809999998E-2</v>
      </c>
      <c r="C10" s="25">
        <f t="shared" si="3"/>
        <v>-2.096774190000001E-3</v>
      </c>
      <c r="D10">
        <f t="shared" si="0"/>
        <v>2020</v>
      </c>
      <c r="F10" s="1">
        <v>44044</v>
      </c>
      <c r="G10">
        <v>0.24</v>
      </c>
      <c r="H10">
        <f t="shared" si="4"/>
        <v>-0.12</v>
      </c>
      <c r="I10">
        <f t="shared" si="1"/>
        <v>2020</v>
      </c>
      <c r="M10" s="14">
        <v>8</v>
      </c>
      <c r="N10" s="17">
        <f t="shared" si="2"/>
        <v>44044</v>
      </c>
      <c r="O10" s="15">
        <v>5.4612333333333334</v>
      </c>
      <c r="P10" s="9">
        <f t="shared" si="5"/>
        <v>0.18104202898550703</v>
      </c>
      <c r="Q10" s="14">
        <v>2020</v>
      </c>
    </row>
    <row r="11" spans="1:17" x14ac:dyDescent="0.3">
      <c r="A11" s="1">
        <v>44075</v>
      </c>
      <c r="B11" s="10">
        <v>0.02</v>
      </c>
      <c r="C11" s="25">
        <f t="shared" si="3"/>
        <v>-4.0322580999999774E-4</v>
      </c>
      <c r="D11">
        <f t="shared" si="0"/>
        <v>2020</v>
      </c>
      <c r="F11" s="1">
        <v>44075</v>
      </c>
      <c r="G11">
        <v>0.64</v>
      </c>
      <c r="H11">
        <f t="shared" si="4"/>
        <v>0.4</v>
      </c>
      <c r="I11">
        <f t="shared" si="1"/>
        <v>2020</v>
      </c>
      <c r="M11" s="14">
        <v>9</v>
      </c>
      <c r="N11" s="17">
        <f t="shared" si="2"/>
        <v>44075</v>
      </c>
      <c r="O11" s="15">
        <v>5.3994857142857144</v>
      </c>
      <c r="P11" s="9">
        <f t="shared" si="5"/>
        <v>-6.174761904761894E-2</v>
      </c>
      <c r="Q11" s="14">
        <v>2020</v>
      </c>
    </row>
    <row r="12" spans="1:17" x14ac:dyDescent="0.3">
      <c r="A12" s="1">
        <v>44105</v>
      </c>
      <c r="B12" s="10">
        <v>0.02</v>
      </c>
      <c r="C12" s="25">
        <f t="shared" si="3"/>
        <v>0</v>
      </c>
      <c r="D12">
        <f t="shared" si="0"/>
        <v>2020</v>
      </c>
      <c r="F12" s="1">
        <v>44105</v>
      </c>
      <c r="G12">
        <v>0.86</v>
      </c>
      <c r="H12">
        <f t="shared" si="4"/>
        <v>0.21999999999999997</v>
      </c>
      <c r="I12">
        <f t="shared" si="1"/>
        <v>2020</v>
      </c>
      <c r="M12" s="14">
        <v>10</v>
      </c>
      <c r="N12" s="17">
        <f t="shared" si="2"/>
        <v>44105</v>
      </c>
      <c r="O12" s="15">
        <v>5.6257904761904758</v>
      </c>
      <c r="P12" s="9">
        <f t="shared" si="5"/>
        <v>0.22630476190476134</v>
      </c>
      <c r="Q12" s="14">
        <v>2020</v>
      </c>
    </row>
    <row r="13" spans="1:17" x14ac:dyDescent="0.3">
      <c r="A13" s="1">
        <v>44136</v>
      </c>
      <c r="B13" s="10">
        <v>0.02</v>
      </c>
      <c r="C13" s="25">
        <f t="shared" si="3"/>
        <v>0</v>
      </c>
      <c r="D13">
        <f t="shared" si="0"/>
        <v>2020</v>
      </c>
      <c r="F13" s="1">
        <v>44136</v>
      </c>
      <c r="G13">
        <v>0.89</v>
      </c>
      <c r="H13">
        <f t="shared" si="4"/>
        <v>3.0000000000000027E-2</v>
      </c>
      <c r="I13">
        <f t="shared" si="1"/>
        <v>2020</v>
      </c>
      <c r="M13" s="14">
        <v>11</v>
      </c>
      <c r="N13" s="17">
        <f t="shared" si="2"/>
        <v>44136</v>
      </c>
      <c r="O13" s="15">
        <v>5.4178350000000002</v>
      </c>
      <c r="P13" s="9">
        <f t="shared" si="5"/>
        <v>-0.20795547619047561</v>
      </c>
      <c r="Q13" s="14">
        <v>2020</v>
      </c>
    </row>
    <row r="14" spans="1:17" x14ac:dyDescent="0.3">
      <c r="A14" s="1">
        <v>44166</v>
      </c>
      <c r="B14" s="10">
        <v>0.02</v>
      </c>
      <c r="C14" s="25">
        <f t="shared" si="3"/>
        <v>0</v>
      </c>
      <c r="D14">
        <f t="shared" si="0"/>
        <v>2020</v>
      </c>
      <c r="F14" s="1">
        <v>44166</v>
      </c>
      <c r="G14">
        <v>1.35</v>
      </c>
      <c r="H14">
        <f t="shared" si="4"/>
        <v>0.46000000000000008</v>
      </c>
      <c r="I14">
        <f t="shared" si="1"/>
        <v>2020</v>
      </c>
      <c r="M14" s="14">
        <v>12</v>
      </c>
      <c r="N14" s="17">
        <f t="shared" si="2"/>
        <v>44166</v>
      </c>
      <c r="O14" s="15">
        <v>5.1455863636363635</v>
      </c>
      <c r="P14" s="9">
        <f t="shared" si="5"/>
        <v>-0.27224863636363672</v>
      </c>
      <c r="Q14" s="14">
        <v>2020</v>
      </c>
    </row>
    <row r="15" spans="1:17" x14ac:dyDescent="0.3">
      <c r="A15" s="1">
        <v>44197</v>
      </c>
      <c r="B15" s="10">
        <v>0.02</v>
      </c>
      <c r="C15" s="25">
        <f t="shared" si="3"/>
        <v>0</v>
      </c>
      <c r="D15">
        <f t="shared" si="0"/>
        <v>2021</v>
      </c>
      <c r="F15" s="1">
        <v>44197</v>
      </c>
      <c r="G15">
        <v>0.25</v>
      </c>
      <c r="H15">
        <f t="shared" si="4"/>
        <v>-1.1000000000000001</v>
      </c>
      <c r="I15">
        <f t="shared" si="1"/>
        <v>2021</v>
      </c>
      <c r="M15" s="14">
        <v>1</v>
      </c>
      <c r="N15" s="17">
        <f t="shared" si="2"/>
        <v>44197</v>
      </c>
      <c r="O15" s="15">
        <v>5.3562450000000004</v>
      </c>
      <c r="P15" s="9">
        <f t="shared" si="5"/>
        <v>0.21065863636363691</v>
      </c>
      <c r="Q15" s="14">
        <v>2021</v>
      </c>
    </row>
    <row r="16" spans="1:17" x14ac:dyDescent="0.3">
      <c r="A16" s="1">
        <v>44228</v>
      </c>
      <c r="B16" s="10">
        <v>0.02</v>
      </c>
      <c r="C16" s="25">
        <f t="shared" si="3"/>
        <v>0</v>
      </c>
      <c r="D16">
        <f t="shared" si="0"/>
        <v>2021</v>
      </c>
      <c r="F16" s="1">
        <v>44228</v>
      </c>
      <c r="G16">
        <v>0.86</v>
      </c>
      <c r="H16">
        <f t="shared" si="4"/>
        <v>0.61</v>
      </c>
      <c r="I16">
        <f t="shared" si="1"/>
        <v>2021</v>
      </c>
      <c r="M16" s="14">
        <v>2</v>
      </c>
      <c r="N16" s="17">
        <f t="shared" si="2"/>
        <v>44228</v>
      </c>
      <c r="O16" s="15">
        <v>5.4164944444444441</v>
      </c>
      <c r="P16" s="9">
        <f t="shared" si="5"/>
        <v>6.0249444444443689E-2</v>
      </c>
      <c r="Q16" s="14">
        <v>2021</v>
      </c>
    </row>
    <row r="17" spans="1:17" x14ac:dyDescent="0.3">
      <c r="A17" s="1">
        <v>44256</v>
      </c>
      <c r="B17" s="10">
        <v>2.3387096770000001E-2</v>
      </c>
      <c r="C17" s="25">
        <f t="shared" si="3"/>
        <v>3.3870967700000004E-3</v>
      </c>
      <c r="D17">
        <f t="shared" si="0"/>
        <v>2021</v>
      </c>
      <c r="F17" s="1">
        <v>44256</v>
      </c>
      <c r="G17">
        <v>0.93</v>
      </c>
      <c r="H17">
        <f t="shared" si="4"/>
        <v>7.0000000000000062E-2</v>
      </c>
      <c r="I17">
        <f t="shared" si="1"/>
        <v>2021</v>
      </c>
      <c r="M17" s="14">
        <v>3</v>
      </c>
      <c r="N17" s="17">
        <f t="shared" si="2"/>
        <v>44256</v>
      </c>
      <c r="O17" s="15">
        <v>5.6461478260869562</v>
      </c>
      <c r="P17" s="9">
        <f t="shared" si="5"/>
        <v>0.22965338164251214</v>
      </c>
      <c r="Q17" s="14">
        <v>2021</v>
      </c>
    </row>
    <row r="18" spans="1:17" x14ac:dyDescent="0.3">
      <c r="A18" s="1">
        <v>44287</v>
      </c>
      <c r="B18" s="10">
        <v>2.75E-2</v>
      </c>
      <c r="C18" s="25">
        <f t="shared" si="3"/>
        <v>4.1129032299999993E-3</v>
      </c>
      <c r="D18">
        <f t="shared" si="0"/>
        <v>2021</v>
      </c>
      <c r="F18" s="1">
        <v>44287</v>
      </c>
      <c r="G18">
        <v>0.31</v>
      </c>
      <c r="H18">
        <f t="shared" si="4"/>
        <v>-0.62000000000000011</v>
      </c>
      <c r="I18">
        <f t="shared" si="1"/>
        <v>2021</v>
      </c>
      <c r="M18" s="14">
        <v>4</v>
      </c>
      <c r="N18" s="17">
        <f t="shared" si="2"/>
        <v>44287</v>
      </c>
      <c r="O18" s="15">
        <v>5.5621349999999996</v>
      </c>
      <c r="P18" s="9">
        <f t="shared" si="5"/>
        <v>-8.4012826086956593E-2</v>
      </c>
      <c r="Q18" s="14">
        <v>2021</v>
      </c>
    </row>
    <row r="19" spans="1:17" x14ac:dyDescent="0.3">
      <c r="A19" s="1">
        <v>44317</v>
      </c>
      <c r="B19" s="10">
        <v>3.3790322580000004E-2</v>
      </c>
      <c r="C19" s="25">
        <f t="shared" si="3"/>
        <v>6.2903225800000039E-3</v>
      </c>
      <c r="D19">
        <f t="shared" si="0"/>
        <v>2021</v>
      </c>
      <c r="F19" s="1">
        <v>44317</v>
      </c>
      <c r="G19">
        <v>0.83</v>
      </c>
      <c r="H19">
        <f t="shared" si="4"/>
        <v>0.52</v>
      </c>
      <c r="I19">
        <f t="shared" si="1"/>
        <v>2021</v>
      </c>
      <c r="M19" s="14">
        <v>5</v>
      </c>
      <c r="N19" s="17">
        <f t="shared" si="2"/>
        <v>44317</v>
      </c>
      <c r="O19" s="15">
        <v>5.2910571428571425</v>
      </c>
      <c r="P19" s="9">
        <f t="shared" si="5"/>
        <v>-0.27107785714285715</v>
      </c>
      <c r="Q19" s="14">
        <v>2021</v>
      </c>
    </row>
    <row r="20" spans="1:17" x14ac:dyDescent="0.3">
      <c r="A20" s="1">
        <v>44348</v>
      </c>
      <c r="B20" s="10">
        <v>3.85E-2</v>
      </c>
      <c r="C20" s="25">
        <f t="shared" si="3"/>
        <v>4.7096774199999955E-3</v>
      </c>
      <c r="D20">
        <f t="shared" si="0"/>
        <v>2021</v>
      </c>
      <c r="F20" s="1">
        <v>44348</v>
      </c>
      <c r="G20">
        <v>0.53</v>
      </c>
      <c r="H20">
        <f t="shared" si="4"/>
        <v>-0.29999999999999993</v>
      </c>
      <c r="I20">
        <f t="shared" si="1"/>
        <v>2021</v>
      </c>
      <c r="M20" s="14">
        <v>6</v>
      </c>
      <c r="N20" s="17">
        <f t="shared" si="2"/>
        <v>44348</v>
      </c>
      <c r="O20" s="15">
        <v>5.0319047619047623</v>
      </c>
      <c r="P20" s="9">
        <f t="shared" si="5"/>
        <v>-0.25915238095238013</v>
      </c>
      <c r="Q20" s="14">
        <v>2021</v>
      </c>
    </row>
    <row r="21" spans="1:17" x14ac:dyDescent="0.3">
      <c r="A21" s="1">
        <v>44378</v>
      </c>
      <c r="B21" s="10">
        <v>4.2500000000000003E-2</v>
      </c>
      <c r="C21" s="25">
        <f t="shared" si="3"/>
        <v>4.0000000000000036E-3</v>
      </c>
      <c r="D21">
        <f t="shared" si="0"/>
        <v>2021</v>
      </c>
      <c r="F21" s="1">
        <v>44378</v>
      </c>
      <c r="G21">
        <v>0.96</v>
      </c>
      <c r="H21">
        <f t="shared" si="4"/>
        <v>0.42999999999999994</v>
      </c>
      <c r="I21">
        <f t="shared" si="1"/>
        <v>2021</v>
      </c>
      <c r="M21" s="14">
        <v>7</v>
      </c>
      <c r="N21" s="17">
        <f t="shared" si="2"/>
        <v>44378</v>
      </c>
      <c r="O21" s="15">
        <v>5.156704545454545</v>
      </c>
      <c r="P21" s="9">
        <f t="shared" si="5"/>
        <v>0.12479978354978272</v>
      </c>
      <c r="Q21" s="14">
        <v>2021</v>
      </c>
    </row>
    <row r="22" spans="1:17" x14ac:dyDescent="0.3">
      <c r="A22" s="1">
        <v>44409</v>
      </c>
      <c r="B22" s="10">
        <v>5.1209677420000002E-2</v>
      </c>
      <c r="C22" s="25">
        <f t="shared" si="3"/>
        <v>8.7096774199999991E-3</v>
      </c>
      <c r="D22">
        <f t="shared" si="0"/>
        <v>2021</v>
      </c>
      <c r="F22" s="1">
        <v>44409</v>
      </c>
      <c r="G22">
        <v>0.87</v>
      </c>
      <c r="H22">
        <f t="shared" si="4"/>
        <v>-8.9999999999999969E-2</v>
      </c>
      <c r="I22">
        <f t="shared" si="1"/>
        <v>2021</v>
      </c>
      <c r="M22" s="14">
        <v>8</v>
      </c>
      <c r="N22" s="17">
        <f t="shared" si="2"/>
        <v>44409</v>
      </c>
      <c r="O22" s="15">
        <v>5.2517181818181822</v>
      </c>
      <c r="P22" s="9">
        <f t="shared" si="5"/>
        <v>9.5013636363637133E-2</v>
      </c>
      <c r="Q22" s="14">
        <v>2021</v>
      </c>
    </row>
    <row r="23" spans="1:17" x14ac:dyDescent="0.3">
      <c r="A23" s="1">
        <v>44440</v>
      </c>
      <c r="B23" s="10">
        <v>5.5166666670000003E-2</v>
      </c>
      <c r="C23" s="25">
        <f t="shared" si="3"/>
        <v>3.9569892500000009E-3</v>
      </c>
      <c r="D23">
        <f t="shared" si="0"/>
        <v>2021</v>
      </c>
      <c r="F23" s="1">
        <v>44440</v>
      </c>
      <c r="G23">
        <v>1.1599999999999999</v>
      </c>
      <c r="H23">
        <f t="shared" si="4"/>
        <v>0.28999999999999992</v>
      </c>
      <c r="I23">
        <f t="shared" si="1"/>
        <v>2021</v>
      </c>
      <c r="M23" s="14">
        <v>9</v>
      </c>
      <c r="N23" s="17">
        <f t="shared" si="2"/>
        <v>44440</v>
      </c>
      <c r="O23" s="15">
        <v>5.2796904761904759</v>
      </c>
      <c r="P23" s="9">
        <f t="shared" si="5"/>
        <v>2.797229437229376E-2</v>
      </c>
      <c r="Q23" s="14">
        <v>2021</v>
      </c>
    </row>
    <row r="24" spans="1:17" x14ac:dyDescent="0.3">
      <c r="A24" s="1">
        <v>44470</v>
      </c>
      <c r="B24" s="10">
        <v>6.4435483870000004E-2</v>
      </c>
      <c r="C24" s="25">
        <f t="shared" si="3"/>
        <v>9.2688172000000013E-3</v>
      </c>
      <c r="D24">
        <f t="shared" si="0"/>
        <v>2021</v>
      </c>
      <c r="F24" s="1">
        <v>44470</v>
      </c>
      <c r="G24">
        <v>1.25</v>
      </c>
      <c r="H24">
        <f t="shared" si="4"/>
        <v>9.000000000000008E-2</v>
      </c>
      <c r="I24">
        <f t="shared" si="1"/>
        <v>2021</v>
      </c>
      <c r="M24" s="14">
        <v>10</v>
      </c>
      <c r="N24" s="17">
        <f t="shared" si="2"/>
        <v>44470</v>
      </c>
      <c r="O24" s="15">
        <v>5.5399799999999999</v>
      </c>
      <c r="P24" s="9">
        <f t="shared" si="5"/>
        <v>0.26028952380952397</v>
      </c>
      <c r="Q24" s="14">
        <v>2021</v>
      </c>
    </row>
    <row r="25" spans="1:17" x14ac:dyDescent="0.3">
      <c r="A25" s="1">
        <v>44501</v>
      </c>
      <c r="B25" s="10">
        <v>7.7499999999999999E-2</v>
      </c>
      <c r="C25" s="25">
        <f t="shared" si="3"/>
        <v>1.3064516129999995E-2</v>
      </c>
      <c r="D25">
        <f t="shared" si="0"/>
        <v>2021</v>
      </c>
      <c r="F25" s="1">
        <v>44501</v>
      </c>
      <c r="G25">
        <v>0.95</v>
      </c>
      <c r="H25">
        <f t="shared" si="4"/>
        <v>-0.30000000000000004</v>
      </c>
      <c r="I25">
        <f t="shared" si="1"/>
        <v>2021</v>
      </c>
      <c r="K25" s="2"/>
      <c r="M25" s="14">
        <v>11</v>
      </c>
      <c r="N25" s="17">
        <f t="shared" si="2"/>
        <v>44501</v>
      </c>
      <c r="O25" s="15">
        <v>5.5568600000000004</v>
      </c>
      <c r="P25" s="9">
        <f t="shared" si="5"/>
        <v>1.688000000000045E-2</v>
      </c>
      <c r="Q25" s="14">
        <v>2021</v>
      </c>
    </row>
    <row r="26" spans="1:17" x14ac:dyDescent="0.3">
      <c r="A26" s="1">
        <v>44531</v>
      </c>
      <c r="B26" s="10">
        <v>8.8629032260000004E-2</v>
      </c>
      <c r="C26" s="25">
        <f t="shared" si="3"/>
        <v>1.1129032260000005E-2</v>
      </c>
      <c r="D26">
        <f t="shared" si="0"/>
        <v>2021</v>
      </c>
      <c r="F26" s="1">
        <v>44531</v>
      </c>
      <c r="G26">
        <v>0.73</v>
      </c>
      <c r="H26">
        <f t="shared" si="4"/>
        <v>-0.21999999999999997</v>
      </c>
      <c r="I26">
        <f t="shared" si="1"/>
        <v>2021</v>
      </c>
      <c r="M26" s="14">
        <v>12</v>
      </c>
      <c r="N26" s="17">
        <f t="shared" si="2"/>
        <v>44531</v>
      </c>
      <c r="O26" s="15">
        <v>5.6513913043478263</v>
      </c>
      <c r="P26" s="9">
        <f t="shared" si="5"/>
        <v>9.4531304347825973E-2</v>
      </c>
      <c r="Q26" s="14">
        <v>2021</v>
      </c>
    </row>
    <row r="27" spans="1:17" x14ac:dyDescent="0.3">
      <c r="A27" s="1">
        <v>44562</v>
      </c>
      <c r="B27" s="10">
        <v>9.2499999999999999E-2</v>
      </c>
      <c r="C27" s="25">
        <f t="shared" si="3"/>
        <v>3.8709677399999948E-3</v>
      </c>
      <c r="D27">
        <f t="shared" si="0"/>
        <v>2022</v>
      </c>
      <c r="F27" s="1">
        <v>44562</v>
      </c>
      <c r="G27">
        <v>0.54</v>
      </c>
      <c r="H27">
        <f t="shared" si="4"/>
        <v>-0.18999999999999995</v>
      </c>
      <c r="I27">
        <f t="shared" si="1"/>
        <v>2022</v>
      </c>
      <c r="M27" s="14">
        <v>1</v>
      </c>
      <c r="N27" s="17">
        <f t="shared" si="2"/>
        <v>44562</v>
      </c>
      <c r="O27" s="15">
        <v>5.5341047619047616</v>
      </c>
      <c r="P27" s="9">
        <f t="shared" si="5"/>
        <v>-0.11728654244306469</v>
      </c>
      <c r="Q27" s="14">
        <v>2022</v>
      </c>
    </row>
    <row r="28" spans="1:17" x14ac:dyDescent="0.3">
      <c r="A28" s="1">
        <v>44593</v>
      </c>
      <c r="B28" s="10">
        <v>0.1064285714</v>
      </c>
      <c r="C28" s="25">
        <f t="shared" si="3"/>
        <v>1.3928571400000006E-2</v>
      </c>
      <c r="D28">
        <f t="shared" si="0"/>
        <v>2022</v>
      </c>
      <c r="F28" s="1">
        <v>44593</v>
      </c>
      <c r="G28">
        <v>1.01</v>
      </c>
      <c r="H28">
        <f t="shared" si="4"/>
        <v>0.47</v>
      </c>
      <c r="I28">
        <f t="shared" si="1"/>
        <v>2022</v>
      </c>
      <c r="M28" s="14">
        <v>2</v>
      </c>
      <c r="N28" s="17">
        <f t="shared" si="2"/>
        <v>44593</v>
      </c>
      <c r="O28" s="15">
        <v>5.1965789473684207</v>
      </c>
      <c r="P28" s="9">
        <f t="shared" si="5"/>
        <v>-0.3375258145363409</v>
      </c>
      <c r="Q28" s="14">
        <v>2022</v>
      </c>
    </row>
    <row r="29" spans="1:17" x14ac:dyDescent="0.3">
      <c r="A29" s="1">
        <v>44621</v>
      </c>
      <c r="B29" s="10">
        <v>0.1123387097</v>
      </c>
      <c r="C29" s="25">
        <f t="shared" si="3"/>
        <v>5.9101382999999924E-3</v>
      </c>
      <c r="D29">
        <f t="shared" si="0"/>
        <v>2022</v>
      </c>
      <c r="F29" s="1">
        <v>44621</v>
      </c>
      <c r="G29">
        <v>1.62</v>
      </c>
      <c r="H29">
        <f t="shared" si="4"/>
        <v>0.6100000000000001</v>
      </c>
      <c r="I29">
        <f t="shared" si="1"/>
        <v>2022</v>
      </c>
      <c r="M29" s="14">
        <v>3</v>
      </c>
      <c r="N29" s="17">
        <f t="shared" si="2"/>
        <v>44621</v>
      </c>
      <c r="O29" s="15">
        <v>4.9683818181818182</v>
      </c>
      <c r="P29" s="9">
        <f t="shared" si="5"/>
        <v>-0.22819712918660251</v>
      </c>
      <c r="Q29" s="14">
        <v>2022</v>
      </c>
    </row>
    <row r="30" spans="1:17" x14ac:dyDescent="0.3">
      <c r="A30" s="1">
        <v>44652</v>
      </c>
      <c r="B30" s="10">
        <v>0.11749999999999999</v>
      </c>
      <c r="C30" s="25">
        <f t="shared" si="3"/>
        <v>5.161290299999996E-3</v>
      </c>
      <c r="D30">
        <f t="shared" si="0"/>
        <v>2022</v>
      </c>
      <c r="F30" s="1">
        <v>44652</v>
      </c>
      <c r="G30">
        <v>1.06</v>
      </c>
      <c r="H30">
        <f t="shared" si="4"/>
        <v>-0.56000000000000005</v>
      </c>
      <c r="I30">
        <f t="shared" si="1"/>
        <v>2022</v>
      </c>
      <c r="M30" s="14">
        <v>4</v>
      </c>
      <c r="N30" s="17">
        <f t="shared" si="2"/>
        <v>44652</v>
      </c>
      <c r="O30" s="15">
        <v>4.7580157894736841</v>
      </c>
      <c r="P30" s="9">
        <f t="shared" si="5"/>
        <v>-0.21036602870813415</v>
      </c>
      <c r="Q30" s="14">
        <v>2022</v>
      </c>
    </row>
    <row r="31" spans="1:17" x14ac:dyDescent="0.3">
      <c r="A31" s="1">
        <v>44682</v>
      </c>
      <c r="B31" s="10">
        <v>0.1262096774</v>
      </c>
      <c r="C31" s="25">
        <f t="shared" si="3"/>
        <v>8.7096774000000043E-3</v>
      </c>
      <c r="D31">
        <f t="shared" si="0"/>
        <v>2022</v>
      </c>
      <c r="F31" s="1">
        <v>44682</v>
      </c>
      <c r="G31">
        <v>0.47</v>
      </c>
      <c r="H31">
        <f t="shared" si="4"/>
        <v>-0.59000000000000008</v>
      </c>
      <c r="I31">
        <f t="shared" si="1"/>
        <v>2022</v>
      </c>
      <c r="M31" s="14">
        <v>5</v>
      </c>
      <c r="N31" s="17">
        <f t="shared" si="2"/>
        <v>44682</v>
      </c>
      <c r="O31" s="15">
        <v>4.95505</v>
      </c>
      <c r="P31" s="9">
        <f t="shared" si="5"/>
        <v>0.19703421052631587</v>
      </c>
      <c r="Q31" s="14">
        <v>2022</v>
      </c>
    </row>
    <row r="32" spans="1:17" x14ac:dyDescent="0.3">
      <c r="A32" s="1">
        <v>44713</v>
      </c>
      <c r="B32" s="10">
        <v>0.13</v>
      </c>
      <c r="C32" s="25">
        <f t="shared" si="3"/>
        <v>3.7903226000000068E-3</v>
      </c>
      <c r="D32">
        <f t="shared" si="0"/>
        <v>2022</v>
      </c>
      <c r="F32" s="1">
        <v>44713</v>
      </c>
      <c r="G32">
        <v>0.67</v>
      </c>
      <c r="H32">
        <f t="shared" si="4"/>
        <v>0.20000000000000007</v>
      </c>
      <c r="I32">
        <f t="shared" si="1"/>
        <v>2022</v>
      </c>
      <c r="M32" s="14">
        <v>6</v>
      </c>
      <c r="N32" s="17">
        <f t="shared" si="2"/>
        <v>44713</v>
      </c>
      <c r="O32" s="15">
        <v>5.049209523809524</v>
      </c>
      <c r="P32" s="9">
        <f t="shared" si="5"/>
        <v>9.4159523809524082E-2</v>
      </c>
      <c r="Q32" s="14">
        <v>2022</v>
      </c>
    </row>
    <row r="33" spans="1:17" x14ac:dyDescent="0.3">
      <c r="A33" s="1">
        <v>44743</v>
      </c>
      <c r="B33" s="10">
        <v>0.13250000000000001</v>
      </c>
      <c r="C33" s="25">
        <f t="shared" si="3"/>
        <v>2.5000000000000022E-3</v>
      </c>
      <c r="D33">
        <f t="shared" si="0"/>
        <v>2022</v>
      </c>
      <c r="F33" s="1">
        <v>44743</v>
      </c>
      <c r="G33">
        <v>-0.68</v>
      </c>
      <c r="H33">
        <f t="shared" si="4"/>
        <v>-1.35</v>
      </c>
      <c r="I33">
        <f t="shared" si="1"/>
        <v>2022</v>
      </c>
      <c r="M33" s="14">
        <v>7</v>
      </c>
      <c r="N33" s="17">
        <f t="shared" si="2"/>
        <v>44743</v>
      </c>
      <c r="O33" s="15">
        <v>5.3680714285714286</v>
      </c>
      <c r="P33" s="9">
        <f t="shared" si="5"/>
        <v>0.31886190476190457</v>
      </c>
      <c r="Q33" s="14">
        <v>2022</v>
      </c>
    </row>
    <row r="34" spans="1:17" x14ac:dyDescent="0.3">
      <c r="A34" s="1">
        <v>44774</v>
      </c>
      <c r="B34" s="10">
        <v>0.13701612900000001</v>
      </c>
      <c r="C34" s="25">
        <f t="shared" si="3"/>
        <v>4.5161290000000076E-3</v>
      </c>
      <c r="D34">
        <f t="shared" si="0"/>
        <v>2022</v>
      </c>
      <c r="F34" s="1">
        <v>44774</v>
      </c>
      <c r="G34">
        <v>-0.36</v>
      </c>
      <c r="H34">
        <f t="shared" si="4"/>
        <v>0.32000000000000006</v>
      </c>
      <c r="I34">
        <f t="shared" si="1"/>
        <v>2022</v>
      </c>
      <c r="M34" s="14">
        <v>8</v>
      </c>
      <c r="N34" s="17">
        <f t="shared" si="2"/>
        <v>44774</v>
      </c>
      <c r="O34" s="15">
        <v>5.143286956521739</v>
      </c>
      <c r="P34" s="9">
        <f t="shared" si="5"/>
        <v>-0.22478447204968965</v>
      </c>
      <c r="Q34" s="14">
        <v>2022</v>
      </c>
    </row>
    <row r="35" spans="1:17" x14ac:dyDescent="0.3">
      <c r="A35" s="1">
        <v>44805</v>
      </c>
      <c r="B35" s="10">
        <v>0.13750000000000001</v>
      </c>
      <c r="C35" s="25">
        <f t="shared" si="3"/>
        <v>4.8387099999999683E-4</v>
      </c>
      <c r="D35">
        <f t="shared" ref="D35:D68" si="6">YEAR(A35)</f>
        <v>2022</v>
      </c>
      <c r="F35" s="1">
        <v>44805</v>
      </c>
      <c r="G35">
        <v>-0.28999999999999998</v>
      </c>
      <c r="H35">
        <f t="shared" si="4"/>
        <v>7.0000000000000007E-2</v>
      </c>
      <c r="I35">
        <f t="shared" ref="I35:I67" si="7">YEAR(F35)</f>
        <v>2022</v>
      </c>
      <c r="M35" s="14">
        <v>9</v>
      </c>
      <c r="N35" s="17">
        <f t="shared" ref="N35:N66" si="8">DATE(Q35,M35,1)</f>
        <v>44805</v>
      </c>
      <c r="O35" s="15">
        <v>5.2369571428571424</v>
      </c>
      <c r="P35" s="9">
        <f t="shared" si="5"/>
        <v>9.3670186335403471E-2</v>
      </c>
      <c r="Q35" s="14">
        <v>2022</v>
      </c>
    </row>
    <row r="36" spans="1:17" x14ac:dyDescent="0.3">
      <c r="A36" s="1">
        <v>44835</v>
      </c>
      <c r="B36" s="10">
        <v>0.13750000000000001</v>
      </c>
      <c r="C36" s="25">
        <f t="shared" ref="C36:C67" si="9">B36-B35</f>
        <v>0</v>
      </c>
      <c r="D36">
        <f t="shared" si="6"/>
        <v>2022</v>
      </c>
      <c r="F36" s="1">
        <v>44835</v>
      </c>
      <c r="G36">
        <v>0.59</v>
      </c>
      <c r="H36">
        <f t="shared" ref="H36:H67" si="10">G36-G35</f>
        <v>0.87999999999999989</v>
      </c>
      <c r="I36">
        <f t="shared" si="7"/>
        <v>2022</v>
      </c>
      <c r="M36" s="14">
        <v>10</v>
      </c>
      <c r="N36" s="17">
        <f t="shared" si="8"/>
        <v>44835</v>
      </c>
      <c r="O36" s="15">
        <v>5.2503000000000002</v>
      </c>
      <c r="P36" s="9">
        <f t="shared" si="5"/>
        <v>1.3342857142857767E-2</v>
      </c>
      <c r="Q36" s="14">
        <v>2022</v>
      </c>
    </row>
    <row r="37" spans="1:17" x14ac:dyDescent="0.3">
      <c r="A37" s="1">
        <v>44866</v>
      </c>
      <c r="B37" s="10">
        <v>0.13750000000000001</v>
      </c>
      <c r="C37" s="25">
        <f t="shared" si="9"/>
        <v>0</v>
      </c>
      <c r="D37">
        <f t="shared" si="6"/>
        <v>2022</v>
      </c>
      <c r="F37" s="1">
        <v>44866</v>
      </c>
      <c r="G37">
        <v>0.41</v>
      </c>
      <c r="H37">
        <f t="shared" si="10"/>
        <v>-0.18</v>
      </c>
      <c r="I37">
        <f t="shared" si="7"/>
        <v>2022</v>
      </c>
      <c r="M37" s="14">
        <v>11</v>
      </c>
      <c r="N37" s="17">
        <f t="shared" si="8"/>
        <v>44866</v>
      </c>
      <c r="O37" s="15">
        <v>5.2746500000000003</v>
      </c>
      <c r="P37" s="9">
        <f t="shared" si="5"/>
        <v>2.4350000000000094E-2</v>
      </c>
      <c r="Q37" s="14">
        <v>2022</v>
      </c>
    </row>
    <row r="38" spans="1:17" x14ac:dyDescent="0.3">
      <c r="A38" s="1">
        <v>44896</v>
      </c>
      <c r="B38" s="10">
        <v>0.13750000000000001</v>
      </c>
      <c r="C38" s="25">
        <f t="shared" si="9"/>
        <v>0</v>
      </c>
      <c r="D38">
        <f t="shared" si="6"/>
        <v>2022</v>
      </c>
      <c r="F38" s="1">
        <v>44896</v>
      </c>
      <c r="G38">
        <v>0.62</v>
      </c>
      <c r="H38">
        <f t="shared" si="10"/>
        <v>0.21000000000000002</v>
      </c>
      <c r="I38">
        <f t="shared" si="7"/>
        <v>2022</v>
      </c>
      <c r="M38" s="14">
        <v>12</v>
      </c>
      <c r="N38" s="17">
        <f t="shared" si="8"/>
        <v>44896</v>
      </c>
      <c r="O38" s="15">
        <v>5.2424318181818181</v>
      </c>
      <c r="P38" s="9">
        <f t="shared" si="5"/>
        <v>-3.2218181818182146E-2</v>
      </c>
      <c r="Q38" s="14">
        <v>2022</v>
      </c>
    </row>
    <row r="39" spans="1:17" x14ac:dyDescent="0.3">
      <c r="A39" s="1">
        <v>44927</v>
      </c>
      <c r="B39" s="10">
        <v>0.13750000000000001</v>
      </c>
      <c r="C39" s="25">
        <f t="shared" si="9"/>
        <v>0</v>
      </c>
      <c r="D39">
        <f t="shared" si="6"/>
        <v>2023</v>
      </c>
      <c r="F39" s="1">
        <v>44927</v>
      </c>
      <c r="G39">
        <v>0.53</v>
      </c>
      <c r="H39">
        <f t="shared" si="10"/>
        <v>-8.9999999999999969E-2</v>
      </c>
      <c r="I39">
        <f t="shared" si="7"/>
        <v>2023</v>
      </c>
      <c r="M39" s="14">
        <v>1</v>
      </c>
      <c r="N39" s="17">
        <f t="shared" si="8"/>
        <v>44927</v>
      </c>
      <c r="O39" s="15">
        <v>5.2006818181818186</v>
      </c>
      <c r="P39" s="9">
        <f t="shared" si="5"/>
        <v>-4.174999999999951E-2</v>
      </c>
      <c r="Q39" s="14">
        <v>2023</v>
      </c>
    </row>
    <row r="40" spans="1:17" x14ac:dyDescent="0.3">
      <c r="A40" s="1">
        <v>44958</v>
      </c>
      <c r="B40" s="10">
        <v>0.13750000000000001</v>
      </c>
      <c r="C40" s="25">
        <f t="shared" si="9"/>
        <v>0</v>
      </c>
      <c r="D40">
        <f t="shared" si="6"/>
        <v>2023</v>
      </c>
      <c r="F40" s="1">
        <v>44958</v>
      </c>
      <c r="G40">
        <v>0.84</v>
      </c>
      <c r="H40">
        <f t="shared" si="10"/>
        <v>0.30999999999999994</v>
      </c>
      <c r="I40">
        <f t="shared" si="7"/>
        <v>2023</v>
      </c>
      <c r="M40" s="14">
        <v>2</v>
      </c>
      <c r="N40" s="17">
        <f t="shared" si="8"/>
        <v>44958</v>
      </c>
      <c r="O40" s="15">
        <v>5.1716888888888892</v>
      </c>
      <c r="P40" s="9">
        <f t="shared" si="5"/>
        <v>-2.8992929292929404E-2</v>
      </c>
      <c r="Q40" s="14">
        <v>2023</v>
      </c>
    </row>
    <row r="41" spans="1:17" x14ac:dyDescent="0.3">
      <c r="A41" s="1">
        <v>44986</v>
      </c>
      <c r="B41" s="10">
        <v>0.13750000000000001</v>
      </c>
      <c r="C41" s="25">
        <f t="shared" si="9"/>
        <v>0</v>
      </c>
      <c r="D41">
        <f t="shared" si="6"/>
        <v>2023</v>
      </c>
      <c r="F41" s="1">
        <v>44986</v>
      </c>
      <c r="G41">
        <v>0.71</v>
      </c>
      <c r="H41">
        <f t="shared" si="10"/>
        <v>-0.13</v>
      </c>
      <c r="I41">
        <f t="shared" si="7"/>
        <v>2023</v>
      </c>
      <c r="M41" s="14">
        <v>3</v>
      </c>
      <c r="N41" s="17">
        <f t="shared" si="8"/>
        <v>44986</v>
      </c>
      <c r="O41" s="15">
        <v>5.2114608695652178</v>
      </c>
      <c r="P41" s="9">
        <f t="shared" si="5"/>
        <v>3.9771980676328589E-2</v>
      </c>
      <c r="Q41" s="14">
        <v>2023</v>
      </c>
    </row>
    <row r="42" spans="1:17" x14ac:dyDescent="0.3">
      <c r="A42" s="1">
        <v>45017</v>
      </c>
      <c r="B42" s="10">
        <v>0.13750000000000001</v>
      </c>
      <c r="C42" s="25">
        <f t="shared" si="9"/>
        <v>0</v>
      </c>
      <c r="D42">
        <f t="shared" si="6"/>
        <v>2023</v>
      </c>
      <c r="F42" s="1">
        <v>45017</v>
      </c>
      <c r="G42">
        <v>0.61</v>
      </c>
      <c r="H42">
        <f t="shared" si="10"/>
        <v>-9.9999999999999978E-2</v>
      </c>
      <c r="I42">
        <f t="shared" si="7"/>
        <v>2023</v>
      </c>
      <c r="M42" s="14">
        <v>4</v>
      </c>
      <c r="N42" s="17">
        <f t="shared" si="8"/>
        <v>45017</v>
      </c>
      <c r="O42" s="15">
        <v>5.0197333333333329</v>
      </c>
      <c r="P42" s="9">
        <f t="shared" si="5"/>
        <v>-0.19172753623188488</v>
      </c>
      <c r="Q42" s="14">
        <v>2023</v>
      </c>
    </row>
    <row r="43" spans="1:17" x14ac:dyDescent="0.3">
      <c r="A43" s="1">
        <v>45047</v>
      </c>
      <c r="B43" s="10">
        <v>0.13750000000000001</v>
      </c>
      <c r="C43" s="25">
        <f t="shared" si="9"/>
        <v>0</v>
      </c>
      <c r="D43">
        <f t="shared" si="6"/>
        <v>2023</v>
      </c>
      <c r="F43" s="1">
        <v>45047</v>
      </c>
      <c r="G43">
        <v>0.23</v>
      </c>
      <c r="H43">
        <f t="shared" si="10"/>
        <v>-0.38</v>
      </c>
      <c r="I43">
        <f t="shared" si="7"/>
        <v>2023</v>
      </c>
      <c r="M43" s="14">
        <v>5</v>
      </c>
      <c r="N43" s="17">
        <f t="shared" si="8"/>
        <v>45047</v>
      </c>
      <c r="O43" s="15">
        <v>4.9828363636363635</v>
      </c>
      <c r="P43" s="9">
        <f t="shared" si="5"/>
        <v>-3.6896969696969428E-2</v>
      </c>
      <c r="Q43" s="14">
        <v>2023</v>
      </c>
    </row>
    <row r="44" spans="1:17" x14ac:dyDescent="0.3">
      <c r="A44" s="1">
        <v>45078</v>
      </c>
      <c r="B44" s="10">
        <v>0.13750000000000001</v>
      </c>
      <c r="C44" s="25">
        <f t="shared" si="9"/>
        <v>0</v>
      </c>
      <c r="D44">
        <f t="shared" si="6"/>
        <v>2023</v>
      </c>
      <c r="F44" s="1">
        <v>45078</v>
      </c>
      <c r="G44">
        <v>-0.08</v>
      </c>
      <c r="H44">
        <f t="shared" si="10"/>
        <v>-0.31</v>
      </c>
      <c r="I44">
        <f t="shared" si="7"/>
        <v>2023</v>
      </c>
      <c r="M44" s="14">
        <v>6</v>
      </c>
      <c r="N44" s="17">
        <f t="shared" si="8"/>
        <v>45078</v>
      </c>
      <c r="O44" s="15">
        <v>4.8515666666666668</v>
      </c>
      <c r="P44" s="9">
        <f t="shared" si="5"/>
        <v>-0.1312696969696967</v>
      </c>
      <c r="Q44" s="14">
        <v>2023</v>
      </c>
    </row>
    <row r="45" spans="1:17" x14ac:dyDescent="0.3">
      <c r="A45" s="1">
        <v>45108</v>
      </c>
      <c r="B45" s="10">
        <v>0.13750000000000001</v>
      </c>
      <c r="C45" s="25">
        <f t="shared" si="9"/>
        <v>0</v>
      </c>
      <c r="D45">
        <f t="shared" si="6"/>
        <v>2023</v>
      </c>
      <c r="F45" s="1">
        <v>45108</v>
      </c>
      <c r="G45">
        <v>0.12</v>
      </c>
      <c r="H45">
        <f t="shared" si="10"/>
        <v>0.2</v>
      </c>
      <c r="I45">
        <f t="shared" si="7"/>
        <v>2023</v>
      </c>
      <c r="M45" s="14">
        <v>7</v>
      </c>
      <c r="N45" s="17">
        <f t="shared" si="8"/>
        <v>45108</v>
      </c>
      <c r="O45" s="15">
        <v>4.8008333333333333</v>
      </c>
      <c r="P45" s="9">
        <f t="shared" si="5"/>
        <v>-5.0733333333333519E-2</v>
      </c>
      <c r="Q45" s="14">
        <v>2023</v>
      </c>
    </row>
    <row r="46" spans="1:17" x14ac:dyDescent="0.3">
      <c r="A46" s="1">
        <v>45139</v>
      </c>
      <c r="B46" s="10">
        <v>0.13282258059999999</v>
      </c>
      <c r="C46" s="25">
        <f t="shared" si="9"/>
        <v>-4.6774194000000213E-3</v>
      </c>
      <c r="D46">
        <f t="shared" si="6"/>
        <v>2023</v>
      </c>
      <c r="F46" s="1">
        <v>45139</v>
      </c>
      <c r="G46">
        <v>0.23</v>
      </c>
      <c r="H46">
        <f t="shared" si="10"/>
        <v>0.11000000000000001</v>
      </c>
      <c r="I46">
        <f t="shared" si="7"/>
        <v>2023</v>
      </c>
      <c r="M46" s="14">
        <v>8</v>
      </c>
      <c r="N46" s="17">
        <f t="shared" si="8"/>
        <v>45139</v>
      </c>
      <c r="O46" s="15">
        <v>4.90354347826087</v>
      </c>
      <c r="P46" s="9">
        <f t="shared" si="5"/>
        <v>0.10271014492753672</v>
      </c>
      <c r="Q46" s="14">
        <v>2023</v>
      </c>
    </row>
    <row r="47" spans="1:17" x14ac:dyDescent="0.3">
      <c r="A47" s="1">
        <v>45170</v>
      </c>
      <c r="B47" s="10">
        <v>0.13083333329999999</v>
      </c>
      <c r="C47" s="25">
        <f t="shared" si="9"/>
        <v>-1.9892472999999966E-3</v>
      </c>
      <c r="D47">
        <f t="shared" si="6"/>
        <v>2023</v>
      </c>
      <c r="F47" s="1">
        <v>45170</v>
      </c>
      <c r="G47">
        <v>0.26</v>
      </c>
      <c r="H47">
        <f t="shared" si="10"/>
        <v>0.03</v>
      </c>
      <c r="I47">
        <f t="shared" si="7"/>
        <v>2023</v>
      </c>
      <c r="M47" s="14">
        <v>9</v>
      </c>
      <c r="N47" s="17">
        <f t="shared" si="8"/>
        <v>45170</v>
      </c>
      <c r="O47" s="15">
        <v>4.9369899999999998</v>
      </c>
      <c r="P47" s="9">
        <f t="shared" si="5"/>
        <v>3.3446521739129764E-2</v>
      </c>
      <c r="Q47" s="14">
        <v>2023</v>
      </c>
    </row>
    <row r="48" spans="1:17" x14ac:dyDescent="0.3">
      <c r="A48" s="1">
        <v>45200</v>
      </c>
      <c r="B48" s="10">
        <v>0.1275</v>
      </c>
      <c r="C48" s="25">
        <f t="shared" si="9"/>
        <v>-3.333333299999991E-3</v>
      </c>
      <c r="D48">
        <f t="shared" si="6"/>
        <v>2023</v>
      </c>
      <c r="F48" s="1">
        <v>45200</v>
      </c>
      <c r="G48">
        <v>0.24</v>
      </c>
      <c r="H48">
        <f t="shared" si="10"/>
        <v>-2.0000000000000018E-2</v>
      </c>
      <c r="I48">
        <f t="shared" si="7"/>
        <v>2023</v>
      </c>
      <c r="M48" s="14">
        <v>10</v>
      </c>
      <c r="N48" s="17">
        <f t="shared" si="8"/>
        <v>45200</v>
      </c>
      <c r="O48" s="15">
        <v>5.0648428571428568</v>
      </c>
      <c r="P48" s="9">
        <f t="shared" si="5"/>
        <v>0.12785285714285699</v>
      </c>
      <c r="Q48" s="14">
        <v>2023</v>
      </c>
    </row>
    <row r="49" spans="1:17" x14ac:dyDescent="0.3">
      <c r="A49" s="1">
        <v>45231</v>
      </c>
      <c r="B49" s="10">
        <v>0.1226666667</v>
      </c>
      <c r="C49" s="25">
        <f t="shared" si="9"/>
        <v>-4.8333333000000062E-3</v>
      </c>
      <c r="D49">
        <f t="shared" si="6"/>
        <v>2023</v>
      </c>
      <c r="F49" s="1">
        <v>45231</v>
      </c>
      <c r="G49">
        <v>0.28000000000000003</v>
      </c>
      <c r="H49">
        <f t="shared" si="10"/>
        <v>4.0000000000000036E-2</v>
      </c>
      <c r="I49">
        <f t="shared" si="7"/>
        <v>2023</v>
      </c>
      <c r="M49" s="14">
        <v>11</v>
      </c>
      <c r="N49" s="17">
        <f t="shared" si="8"/>
        <v>45231</v>
      </c>
      <c r="O49" s="15">
        <v>4.8983400000000001</v>
      </c>
      <c r="P49" s="9">
        <f t="shared" si="5"/>
        <v>-0.16650285714285662</v>
      </c>
      <c r="Q49" s="14">
        <v>2023</v>
      </c>
    </row>
    <row r="50" spans="1:17" x14ac:dyDescent="0.3">
      <c r="A50" s="1">
        <v>45261</v>
      </c>
      <c r="B50" s="10">
        <v>0.11959677420000001</v>
      </c>
      <c r="C50" s="25">
        <f t="shared" si="9"/>
        <v>-3.0698924999999905E-3</v>
      </c>
      <c r="D50">
        <f t="shared" si="6"/>
        <v>2023</v>
      </c>
      <c r="F50" s="1">
        <v>45261</v>
      </c>
      <c r="G50">
        <v>0.56000000000000005</v>
      </c>
      <c r="H50">
        <f t="shared" si="10"/>
        <v>0.28000000000000003</v>
      </c>
      <c r="I50">
        <f t="shared" si="7"/>
        <v>2023</v>
      </c>
      <c r="M50" s="14">
        <v>12</v>
      </c>
      <c r="N50" s="17">
        <f t="shared" si="8"/>
        <v>45261</v>
      </c>
      <c r="O50" s="15">
        <v>4.8972449999999998</v>
      </c>
      <c r="P50" s="9">
        <f t="shared" si="5"/>
        <v>-1.0950000000002902E-3</v>
      </c>
      <c r="Q50" s="14">
        <v>2023</v>
      </c>
    </row>
    <row r="51" spans="1:17" x14ac:dyDescent="0.3">
      <c r="A51" s="1">
        <v>45292</v>
      </c>
      <c r="B51" s="10">
        <v>0.11749999999999999</v>
      </c>
      <c r="C51" s="25">
        <f t="shared" si="9"/>
        <v>-2.0967742000000122E-3</v>
      </c>
      <c r="D51">
        <f t="shared" si="6"/>
        <v>2024</v>
      </c>
      <c r="F51" s="1">
        <v>45292</v>
      </c>
      <c r="G51">
        <v>0.42</v>
      </c>
      <c r="H51">
        <f t="shared" si="10"/>
        <v>-0.14000000000000007</v>
      </c>
      <c r="I51">
        <f t="shared" si="7"/>
        <v>2024</v>
      </c>
      <c r="M51" s="14">
        <v>1</v>
      </c>
      <c r="N51" s="17">
        <f t="shared" si="8"/>
        <v>45292</v>
      </c>
      <c r="O51" s="15">
        <v>4.9143954545454545</v>
      </c>
      <c r="P51" s="9">
        <f t="shared" si="5"/>
        <v>1.7150454545454608E-2</v>
      </c>
      <c r="Q51" s="14">
        <v>2024</v>
      </c>
    </row>
    <row r="52" spans="1:17" x14ac:dyDescent="0.3">
      <c r="A52" s="1">
        <v>45323</v>
      </c>
      <c r="B52" s="10">
        <v>0.1125</v>
      </c>
      <c r="C52" s="25">
        <f t="shared" si="9"/>
        <v>-4.9999999999999906E-3</v>
      </c>
      <c r="D52">
        <f t="shared" si="6"/>
        <v>2024</v>
      </c>
      <c r="F52" s="1">
        <v>45323</v>
      </c>
      <c r="G52">
        <v>0.83</v>
      </c>
      <c r="H52">
        <f t="shared" si="10"/>
        <v>0.41</v>
      </c>
      <c r="I52">
        <f t="shared" si="7"/>
        <v>2024</v>
      </c>
      <c r="M52" s="14">
        <v>2</v>
      </c>
      <c r="N52" s="17">
        <f t="shared" si="8"/>
        <v>45323</v>
      </c>
      <c r="O52" s="15">
        <v>4.9643894736842107</v>
      </c>
      <c r="P52" s="9">
        <f t="shared" si="5"/>
        <v>4.9994019138756229E-2</v>
      </c>
      <c r="Q52" s="14">
        <v>2024</v>
      </c>
    </row>
    <row r="53" spans="1:17" x14ac:dyDescent="0.3">
      <c r="A53" s="1">
        <v>45352</v>
      </c>
      <c r="B53" s="10">
        <v>0.11072580650000001</v>
      </c>
      <c r="C53" s="25">
        <f t="shared" si="9"/>
        <v>-1.7741934999999931E-3</v>
      </c>
      <c r="D53">
        <f t="shared" si="6"/>
        <v>2024</v>
      </c>
      <c r="F53" s="1">
        <v>45352</v>
      </c>
      <c r="G53">
        <v>0.16</v>
      </c>
      <c r="H53">
        <f t="shared" si="10"/>
        <v>-0.66999999999999993</v>
      </c>
      <c r="I53">
        <f t="shared" si="7"/>
        <v>2024</v>
      </c>
      <c r="M53" s="14">
        <v>3</v>
      </c>
      <c r="N53" s="17">
        <f t="shared" si="8"/>
        <v>45352</v>
      </c>
      <c r="O53" s="15">
        <v>4.9801349999999998</v>
      </c>
      <c r="P53" s="9">
        <f t="shared" si="5"/>
        <v>1.5745526315789071E-2</v>
      </c>
      <c r="Q53" s="14">
        <v>2024</v>
      </c>
    </row>
    <row r="54" spans="1:17" x14ac:dyDescent="0.3">
      <c r="A54" s="1">
        <v>45383</v>
      </c>
      <c r="B54" s="10">
        <v>0.1075</v>
      </c>
      <c r="C54" s="25">
        <f t="shared" si="9"/>
        <v>-3.2258065000000113E-3</v>
      </c>
      <c r="D54">
        <f t="shared" si="6"/>
        <v>2024</v>
      </c>
      <c r="F54" s="1">
        <v>45383</v>
      </c>
      <c r="G54">
        <v>0.38</v>
      </c>
      <c r="H54">
        <f t="shared" si="10"/>
        <v>0.22</v>
      </c>
      <c r="I54">
        <f t="shared" si="7"/>
        <v>2024</v>
      </c>
      <c r="M54" s="14">
        <v>4</v>
      </c>
      <c r="N54" s="17">
        <f t="shared" si="8"/>
        <v>45383</v>
      </c>
      <c r="O54" s="15">
        <v>5.129095454545455</v>
      </c>
      <c r="P54" s="9">
        <f t="shared" si="5"/>
        <v>0.14896045454545526</v>
      </c>
      <c r="Q54" s="14">
        <v>2024</v>
      </c>
    </row>
    <row r="55" spans="1:17" x14ac:dyDescent="0.3">
      <c r="A55" s="1">
        <v>45413</v>
      </c>
      <c r="B55" s="10">
        <v>0.1056451613</v>
      </c>
      <c r="C55" s="25">
        <f t="shared" si="9"/>
        <v>-1.8548387E-3</v>
      </c>
      <c r="D55">
        <f t="shared" si="6"/>
        <v>2024</v>
      </c>
      <c r="F55" s="1">
        <v>45413</v>
      </c>
      <c r="G55">
        <v>0.46</v>
      </c>
      <c r="H55">
        <f t="shared" si="10"/>
        <v>8.0000000000000016E-2</v>
      </c>
      <c r="I55">
        <f t="shared" si="7"/>
        <v>2024</v>
      </c>
      <c r="M55" s="14">
        <v>5</v>
      </c>
      <c r="N55" s="17">
        <f t="shared" si="8"/>
        <v>45413</v>
      </c>
      <c r="O55" s="15">
        <v>5.1330476190476189</v>
      </c>
      <c r="P55" s="9">
        <f t="shared" si="5"/>
        <v>3.9521645021638463E-3</v>
      </c>
      <c r="Q55" s="14">
        <v>2024</v>
      </c>
    </row>
    <row r="56" spans="1:17" x14ac:dyDescent="0.3">
      <c r="A56" s="1">
        <v>45444</v>
      </c>
      <c r="B56" s="10">
        <v>0.105</v>
      </c>
      <c r="C56" s="25">
        <f t="shared" si="9"/>
        <v>-6.4516130000000227E-4</v>
      </c>
      <c r="D56">
        <f t="shared" si="6"/>
        <v>2024</v>
      </c>
      <c r="F56" s="1">
        <v>45444</v>
      </c>
      <c r="G56">
        <v>0.21</v>
      </c>
      <c r="H56">
        <f t="shared" si="10"/>
        <v>-0.25</v>
      </c>
      <c r="I56">
        <f t="shared" si="7"/>
        <v>2024</v>
      </c>
      <c r="M56" s="14">
        <v>6</v>
      </c>
      <c r="N56" s="17">
        <f t="shared" si="8"/>
        <v>45444</v>
      </c>
      <c r="O56" s="15">
        <v>5.3889750000000003</v>
      </c>
      <c r="P56" s="9">
        <f t="shared" si="5"/>
        <v>0.25592738095238143</v>
      </c>
      <c r="Q56" s="14">
        <v>2024</v>
      </c>
    </row>
    <row r="57" spans="1:17" x14ac:dyDescent="0.3">
      <c r="A57" s="1">
        <v>45474</v>
      </c>
      <c r="B57" s="10">
        <v>0.105</v>
      </c>
      <c r="C57" s="25">
        <f t="shared" si="9"/>
        <v>0</v>
      </c>
      <c r="D57">
        <f t="shared" si="6"/>
        <v>2024</v>
      </c>
      <c r="F57" s="1">
        <v>45474</v>
      </c>
      <c r="G57">
        <v>0.38</v>
      </c>
      <c r="H57">
        <f t="shared" si="10"/>
        <v>0.17</v>
      </c>
      <c r="I57">
        <f t="shared" si="7"/>
        <v>2024</v>
      </c>
      <c r="M57" s="14">
        <v>7</v>
      </c>
      <c r="N57" s="17">
        <f t="shared" si="8"/>
        <v>45474</v>
      </c>
      <c r="O57" s="15">
        <v>5.5420478260869563</v>
      </c>
      <c r="P57" s="9">
        <f t="shared" si="5"/>
        <v>0.15307282608695605</v>
      </c>
      <c r="Q57" s="14">
        <v>2024</v>
      </c>
    </row>
    <row r="58" spans="1:17" x14ac:dyDescent="0.3">
      <c r="A58" s="1">
        <v>45505</v>
      </c>
      <c r="B58" s="10">
        <v>0.105</v>
      </c>
      <c r="C58" s="25">
        <f t="shared" si="9"/>
        <v>0</v>
      </c>
      <c r="D58">
        <f t="shared" si="6"/>
        <v>2024</v>
      </c>
      <c r="F58" s="1">
        <v>45505</v>
      </c>
      <c r="G58">
        <v>-0.02</v>
      </c>
      <c r="H58">
        <f t="shared" si="10"/>
        <v>-0.4</v>
      </c>
      <c r="I58">
        <f t="shared" si="7"/>
        <v>2024</v>
      </c>
      <c r="M58" s="14">
        <v>8</v>
      </c>
      <c r="N58" s="17">
        <f t="shared" si="8"/>
        <v>45505</v>
      </c>
      <c r="O58" s="15">
        <v>5.5526136363636365</v>
      </c>
      <c r="P58" s="9">
        <f t="shared" si="5"/>
        <v>1.0565810276680132E-2</v>
      </c>
      <c r="Q58" s="14">
        <v>2024</v>
      </c>
    </row>
    <row r="59" spans="1:17" x14ac:dyDescent="0.3">
      <c r="A59" s="1">
        <v>45536</v>
      </c>
      <c r="B59" s="10">
        <v>0.106</v>
      </c>
      <c r="C59" s="25">
        <f t="shared" si="9"/>
        <v>1.0000000000000009E-3</v>
      </c>
      <c r="D59">
        <f t="shared" si="6"/>
        <v>2024</v>
      </c>
      <c r="F59" s="1">
        <v>45536</v>
      </c>
      <c r="G59">
        <v>0.44</v>
      </c>
      <c r="H59">
        <f t="shared" si="10"/>
        <v>0.46</v>
      </c>
      <c r="I59">
        <f t="shared" si="7"/>
        <v>2024</v>
      </c>
      <c r="M59" s="14">
        <v>9</v>
      </c>
      <c r="N59" s="17">
        <f t="shared" si="8"/>
        <v>45536</v>
      </c>
      <c r="O59" s="15">
        <v>5.5415666666666663</v>
      </c>
      <c r="P59" s="9">
        <f t="shared" si="5"/>
        <v>-1.1046969696970166E-2</v>
      </c>
      <c r="Q59" s="14">
        <v>2024</v>
      </c>
    </row>
    <row r="60" spans="1:17" x14ac:dyDescent="0.3">
      <c r="A60" s="1">
        <v>45566</v>
      </c>
      <c r="B60" s="10">
        <v>0.1075</v>
      </c>
      <c r="C60" s="25">
        <f t="shared" si="9"/>
        <v>1.5000000000000013E-3</v>
      </c>
      <c r="D60">
        <f t="shared" si="6"/>
        <v>2024</v>
      </c>
      <c r="F60" s="1">
        <v>45566</v>
      </c>
      <c r="G60">
        <v>0.56000000000000005</v>
      </c>
      <c r="H60">
        <f t="shared" si="10"/>
        <v>0.12000000000000005</v>
      </c>
      <c r="I60">
        <f t="shared" si="7"/>
        <v>2024</v>
      </c>
      <c r="M60" s="14">
        <v>10</v>
      </c>
      <c r="N60" s="17">
        <f t="shared" si="8"/>
        <v>45566</v>
      </c>
      <c r="O60" s="15">
        <v>5.6241086956521738</v>
      </c>
      <c r="P60" s="9">
        <f t="shared" si="5"/>
        <v>8.2542028985507443E-2</v>
      </c>
      <c r="Q60" s="14">
        <v>2024</v>
      </c>
    </row>
    <row r="61" spans="1:17" x14ac:dyDescent="0.3">
      <c r="A61" s="1">
        <v>45597</v>
      </c>
      <c r="B61" s="10">
        <v>0.1115</v>
      </c>
      <c r="C61" s="25">
        <f t="shared" si="9"/>
        <v>4.0000000000000036E-3</v>
      </c>
      <c r="D61">
        <f t="shared" si="6"/>
        <v>2024</v>
      </c>
      <c r="F61" s="1">
        <v>45597</v>
      </c>
      <c r="G61">
        <v>0.39</v>
      </c>
      <c r="H61">
        <f t="shared" si="10"/>
        <v>-0.17000000000000004</v>
      </c>
      <c r="I61">
        <f t="shared" si="7"/>
        <v>2024</v>
      </c>
      <c r="M61" s="14">
        <v>11</v>
      </c>
      <c r="N61" s="17">
        <f t="shared" si="8"/>
        <v>45597</v>
      </c>
      <c r="O61" s="15">
        <v>5.8070578947368423</v>
      </c>
      <c r="P61" s="9">
        <f t="shared" si="5"/>
        <v>0.18294919908466856</v>
      </c>
      <c r="Q61" s="14">
        <v>2024</v>
      </c>
    </row>
    <row r="62" spans="1:17" x14ac:dyDescent="0.3">
      <c r="A62" s="1">
        <v>45627</v>
      </c>
      <c r="B62" s="10">
        <v>0.1189516129</v>
      </c>
      <c r="C62" s="25">
        <f t="shared" si="9"/>
        <v>7.4516129000000014E-3</v>
      </c>
      <c r="D62">
        <f t="shared" si="6"/>
        <v>2024</v>
      </c>
      <c r="F62" s="1">
        <v>45627</v>
      </c>
      <c r="G62">
        <v>0.52</v>
      </c>
      <c r="H62">
        <f t="shared" si="10"/>
        <v>0.13</v>
      </c>
      <c r="I62">
        <f t="shared" si="7"/>
        <v>2024</v>
      </c>
      <c r="M62" s="14">
        <v>12</v>
      </c>
      <c r="N62" s="17">
        <f t="shared" si="8"/>
        <v>45627</v>
      </c>
      <c r="O62" s="15">
        <v>6.0970285714285719</v>
      </c>
      <c r="P62" s="9">
        <f t="shared" si="5"/>
        <v>0.2899706766917296</v>
      </c>
      <c r="Q62" s="14">
        <v>2024</v>
      </c>
    </row>
    <row r="63" spans="1:17" x14ac:dyDescent="0.3">
      <c r="A63" s="1">
        <v>45658</v>
      </c>
      <c r="B63" s="10">
        <v>0.1231451613</v>
      </c>
      <c r="C63" s="25">
        <f t="shared" si="9"/>
        <v>4.1935483999999967E-3</v>
      </c>
      <c r="D63">
        <f t="shared" si="6"/>
        <v>2025</v>
      </c>
      <c r="F63" s="1">
        <v>45658</v>
      </c>
      <c r="G63">
        <v>0.16</v>
      </c>
      <c r="H63">
        <f t="shared" si="10"/>
        <v>-0.36</v>
      </c>
      <c r="I63">
        <f t="shared" si="7"/>
        <v>2025</v>
      </c>
      <c r="M63" s="14">
        <v>1</v>
      </c>
      <c r="N63" s="17">
        <f t="shared" si="8"/>
        <v>45658</v>
      </c>
      <c r="O63" s="15">
        <v>6.0217727272727268</v>
      </c>
      <c r="P63" s="9">
        <f t="shared" si="5"/>
        <v>-7.5255844155845075E-2</v>
      </c>
      <c r="Q63" s="14">
        <v>2025</v>
      </c>
    </row>
    <row r="64" spans="1:17" x14ac:dyDescent="0.3">
      <c r="A64" s="1">
        <v>45689</v>
      </c>
      <c r="B64" s="10">
        <v>0.13250000000000001</v>
      </c>
      <c r="C64" s="25">
        <f t="shared" si="9"/>
        <v>9.3548387000000066E-3</v>
      </c>
      <c r="D64">
        <f t="shared" si="6"/>
        <v>2025</v>
      </c>
      <c r="F64" s="1">
        <v>45689</v>
      </c>
      <c r="G64">
        <v>1.31</v>
      </c>
      <c r="H64">
        <f t="shared" si="10"/>
        <v>1.1500000000000001</v>
      </c>
      <c r="I64">
        <f t="shared" si="7"/>
        <v>2025</v>
      </c>
      <c r="M64" s="14">
        <v>2</v>
      </c>
      <c r="N64" s="17">
        <f t="shared" si="8"/>
        <v>45689</v>
      </c>
      <c r="O64" s="15">
        <v>5.7656450000000001</v>
      </c>
      <c r="P64" s="9">
        <f t="shared" si="5"/>
        <v>-0.2561277272727267</v>
      </c>
      <c r="Q64" s="14">
        <v>2025</v>
      </c>
    </row>
    <row r="65" spans="1:17" x14ac:dyDescent="0.3">
      <c r="A65" s="1">
        <v>45717</v>
      </c>
      <c r="B65" s="10">
        <v>0.13637096769999998</v>
      </c>
      <c r="C65" s="25">
        <f t="shared" si="9"/>
        <v>3.8709676999999776E-3</v>
      </c>
      <c r="D65">
        <f t="shared" si="6"/>
        <v>2025</v>
      </c>
      <c r="F65" s="1">
        <v>45717</v>
      </c>
      <c r="G65">
        <v>0.56000000000000005</v>
      </c>
      <c r="H65">
        <f t="shared" si="10"/>
        <v>-0.75</v>
      </c>
      <c r="I65">
        <f t="shared" si="7"/>
        <v>2025</v>
      </c>
      <c r="M65" s="14">
        <v>3</v>
      </c>
      <c r="N65" s="17">
        <f t="shared" si="8"/>
        <v>45717</v>
      </c>
      <c r="O65" s="15">
        <v>5.7468105263157891</v>
      </c>
      <c r="P65" s="9">
        <f t="shared" si="5"/>
        <v>-1.8834473684210984E-2</v>
      </c>
      <c r="Q65" s="14">
        <v>2025</v>
      </c>
    </row>
    <row r="66" spans="1:17" x14ac:dyDescent="0.3">
      <c r="A66" s="1">
        <v>45748</v>
      </c>
      <c r="B66" s="10">
        <v>0.14249999999999999</v>
      </c>
      <c r="C66" s="25">
        <f t="shared" si="9"/>
        <v>6.1290323000000035E-3</v>
      </c>
      <c r="D66">
        <f t="shared" si="6"/>
        <v>2025</v>
      </c>
      <c r="F66" s="1">
        <v>45748</v>
      </c>
      <c r="G66">
        <v>0.43</v>
      </c>
      <c r="H66">
        <f t="shared" si="10"/>
        <v>-0.13000000000000006</v>
      </c>
      <c r="I66">
        <f t="shared" si="7"/>
        <v>2025</v>
      </c>
      <c r="M66" s="14">
        <v>4</v>
      </c>
      <c r="N66" s="17">
        <f t="shared" si="8"/>
        <v>45748</v>
      </c>
      <c r="O66" s="15">
        <v>5.7836749999999997</v>
      </c>
      <c r="P66" s="9">
        <f t="shared" si="5"/>
        <v>3.686447368421053E-2</v>
      </c>
      <c r="Q66" s="14">
        <v>2025</v>
      </c>
    </row>
    <row r="67" spans="1:17" x14ac:dyDescent="0.3">
      <c r="A67" s="1">
        <v>45778</v>
      </c>
      <c r="B67" s="10">
        <v>0.14637096769999999</v>
      </c>
      <c r="C67" s="25">
        <f t="shared" si="9"/>
        <v>3.8709677000000053E-3</v>
      </c>
      <c r="D67">
        <f t="shared" si="6"/>
        <v>2025</v>
      </c>
      <c r="F67" s="1">
        <v>45778</v>
      </c>
      <c r="G67">
        <v>0.26</v>
      </c>
      <c r="H67">
        <f t="shared" si="10"/>
        <v>-0.16999999999999998</v>
      </c>
      <c r="I67">
        <f t="shared" si="7"/>
        <v>2025</v>
      </c>
      <c r="M67" s="14">
        <v>5</v>
      </c>
      <c r="N67" s="17">
        <f t="shared" ref="N67:N98" si="11">DATE(Q67,M67,1)</f>
        <v>45778</v>
      </c>
      <c r="O67" s="15">
        <v>5.6673857142857145</v>
      </c>
      <c r="P67" s="9">
        <f t="shared" si="5"/>
        <v>-0.11628928571428521</v>
      </c>
      <c r="Q67" s="14">
        <v>2025</v>
      </c>
    </row>
    <row r="68" spans="1:17" x14ac:dyDescent="0.3">
      <c r="A68" s="1">
        <v>45809</v>
      </c>
      <c r="B68" s="10">
        <v>0.14849999999999999</v>
      </c>
      <c r="C68" s="25">
        <f t="shared" ref="C68:C99" si="12">B68-B67</f>
        <v>2.1290323E-3</v>
      </c>
      <c r="D68">
        <f t="shared" si="6"/>
        <v>2025</v>
      </c>
      <c r="F68" s="1">
        <v>45809</v>
      </c>
      <c r="G68">
        <v>0.24</v>
      </c>
      <c r="H68">
        <f t="shared" ref="H68:H99" si="13">G68-G67</f>
        <v>-2.0000000000000018E-2</v>
      </c>
      <c r="I68">
        <f t="shared" ref="I68" si="14">YEAR(F68)</f>
        <v>2025</v>
      </c>
      <c r="M68" s="14">
        <v>6</v>
      </c>
      <c r="N68" s="17">
        <f t="shared" si="11"/>
        <v>45809</v>
      </c>
      <c r="O68" s="15">
        <v>5.5470550000000003</v>
      </c>
      <c r="P68" s="9">
        <f t="shared" si="5"/>
        <v>-0.12033071428571418</v>
      </c>
      <c r="Q68" s="14">
        <v>2025</v>
      </c>
    </row>
    <row r="69" spans="1:17" x14ac:dyDescent="0.3">
      <c r="F69" s="1"/>
      <c r="H69" s="5"/>
      <c r="L69" s="13"/>
    </row>
    <row r="70" spans="1:17" x14ac:dyDescent="0.3">
      <c r="F70" s="1"/>
      <c r="H70" s="5"/>
      <c r="L70" s="13"/>
    </row>
    <row r="71" spans="1:17" x14ac:dyDescent="0.3">
      <c r="F71" s="1"/>
      <c r="H71" s="5"/>
      <c r="L71" s="13"/>
    </row>
    <row r="72" spans="1:17" x14ac:dyDescent="0.3">
      <c r="F72" s="1"/>
      <c r="H72" s="5"/>
      <c r="L72" s="13"/>
    </row>
    <row r="73" spans="1:17" x14ac:dyDescent="0.3">
      <c r="F73" s="1"/>
      <c r="H73" s="5"/>
      <c r="L73" s="13"/>
    </row>
    <row r="74" spans="1:17" x14ac:dyDescent="0.3">
      <c r="F74" s="1"/>
      <c r="H74" s="5"/>
      <c r="L74" s="13"/>
    </row>
    <row r="75" spans="1:17" x14ac:dyDescent="0.3">
      <c r="F75" s="1"/>
      <c r="H75" s="5"/>
      <c r="L75" s="13"/>
    </row>
    <row r="76" spans="1:17" x14ac:dyDescent="0.3">
      <c r="F76" s="1"/>
      <c r="H76" s="5"/>
      <c r="L76" s="13"/>
    </row>
    <row r="77" spans="1:17" x14ac:dyDescent="0.3">
      <c r="F77" s="1"/>
      <c r="H77" s="5"/>
      <c r="L77" s="13"/>
    </row>
    <row r="78" spans="1:17" x14ac:dyDescent="0.3">
      <c r="F78" s="1"/>
      <c r="H78" s="5"/>
      <c r="L78" s="13"/>
    </row>
    <row r="79" spans="1:17" x14ac:dyDescent="0.3">
      <c r="F79" s="1"/>
      <c r="H79" s="5"/>
      <c r="L79" s="13"/>
    </row>
    <row r="80" spans="1:17" x14ac:dyDescent="0.3">
      <c r="F80" s="1"/>
      <c r="H80" s="5"/>
      <c r="L80" s="13"/>
    </row>
    <row r="81" spans="6:12" x14ac:dyDescent="0.3">
      <c r="F81" s="1"/>
      <c r="H81" s="5"/>
      <c r="L81" s="13"/>
    </row>
    <row r="82" spans="6:12" x14ac:dyDescent="0.3">
      <c r="F82" s="1"/>
      <c r="H82" s="5"/>
      <c r="L82" s="13"/>
    </row>
    <row r="83" spans="6:12" x14ac:dyDescent="0.3">
      <c r="F83" s="1"/>
      <c r="H83" s="5"/>
      <c r="L83" s="13"/>
    </row>
    <row r="84" spans="6:12" x14ac:dyDescent="0.3">
      <c r="F84" s="1"/>
      <c r="L84" s="13"/>
    </row>
    <row r="85" spans="6:12" x14ac:dyDescent="0.3">
      <c r="F85" s="1"/>
      <c r="L85" s="13"/>
    </row>
    <row r="86" spans="6:12" x14ac:dyDescent="0.3">
      <c r="F86" s="1"/>
      <c r="L86" s="13"/>
    </row>
    <row r="87" spans="6:12" x14ac:dyDescent="0.3">
      <c r="F87" s="1"/>
      <c r="L87" s="13"/>
    </row>
    <row r="88" spans="6:12" x14ac:dyDescent="0.3">
      <c r="F88" s="1"/>
      <c r="L88" s="13"/>
    </row>
    <row r="89" spans="6:12" x14ac:dyDescent="0.3">
      <c r="F89" s="1"/>
      <c r="L89" s="13"/>
    </row>
    <row r="90" spans="6:12" x14ac:dyDescent="0.3">
      <c r="F90" s="1"/>
      <c r="L90" s="13"/>
    </row>
    <row r="91" spans="6:12" x14ac:dyDescent="0.3">
      <c r="F91" s="1"/>
      <c r="L91" s="13"/>
    </row>
    <row r="92" spans="6:12" x14ac:dyDescent="0.3">
      <c r="F92" s="1"/>
      <c r="L92" s="13"/>
    </row>
    <row r="93" spans="6:12" x14ac:dyDescent="0.3">
      <c r="F93" s="1"/>
      <c r="L93" s="13"/>
    </row>
    <row r="94" spans="6:12" x14ac:dyDescent="0.3">
      <c r="F94" s="1"/>
      <c r="L94" s="13"/>
    </row>
    <row r="95" spans="6:12" x14ac:dyDescent="0.3">
      <c r="F95" s="1"/>
      <c r="L95" s="13"/>
    </row>
    <row r="96" spans="6:12" x14ac:dyDescent="0.3">
      <c r="F96" s="1"/>
      <c r="L96" s="13"/>
    </row>
    <row r="97" spans="6:12" x14ac:dyDescent="0.3">
      <c r="F97" s="1"/>
      <c r="L97" s="13"/>
    </row>
    <row r="98" spans="6:12" x14ac:dyDescent="0.3">
      <c r="F98" s="1"/>
      <c r="L98" s="13"/>
    </row>
    <row r="99" spans="6:12" x14ac:dyDescent="0.3">
      <c r="F99" s="1"/>
      <c r="L99" s="13"/>
    </row>
    <row r="100" spans="6:12" x14ac:dyDescent="0.3">
      <c r="F100" s="1"/>
      <c r="L100" s="13"/>
    </row>
    <row r="101" spans="6:12" x14ac:dyDescent="0.3">
      <c r="F101" s="1"/>
      <c r="L101" s="13"/>
    </row>
    <row r="102" spans="6:12" x14ac:dyDescent="0.3">
      <c r="F102" s="1"/>
      <c r="L102" s="13"/>
    </row>
    <row r="103" spans="6:12" x14ac:dyDescent="0.3">
      <c r="F103" s="1"/>
      <c r="L103" s="13"/>
    </row>
    <row r="104" spans="6:12" x14ac:dyDescent="0.3">
      <c r="F104" s="1"/>
      <c r="L104" s="13"/>
    </row>
    <row r="105" spans="6:12" x14ac:dyDescent="0.3">
      <c r="F105" s="1"/>
      <c r="L105" s="13"/>
    </row>
    <row r="106" spans="6:12" x14ac:dyDescent="0.3">
      <c r="F106" s="1"/>
      <c r="L106" s="13"/>
    </row>
    <row r="107" spans="6:12" x14ac:dyDescent="0.3">
      <c r="F107" s="1"/>
      <c r="L107" s="13"/>
    </row>
    <row r="108" spans="6:12" x14ac:dyDescent="0.3">
      <c r="F108" s="1"/>
      <c r="L108" s="13"/>
    </row>
    <row r="109" spans="6:12" x14ac:dyDescent="0.3">
      <c r="F109" s="1"/>
      <c r="L109" s="13"/>
    </row>
    <row r="110" spans="6:12" x14ac:dyDescent="0.3">
      <c r="F110" s="1"/>
      <c r="L110" s="13"/>
    </row>
    <row r="111" spans="6:12" x14ac:dyDescent="0.3">
      <c r="F111" s="1"/>
      <c r="L111" s="13"/>
    </row>
    <row r="112" spans="6:12" x14ac:dyDescent="0.3">
      <c r="F112" s="1"/>
      <c r="L112" s="13"/>
    </row>
    <row r="113" spans="6:12" x14ac:dyDescent="0.3">
      <c r="F113" s="1"/>
      <c r="L113" s="13"/>
    </row>
    <row r="114" spans="6:12" x14ac:dyDescent="0.3">
      <c r="F114" s="1"/>
      <c r="L114" s="13"/>
    </row>
    <row r="115" spans="6:12" x14ac:dyDescent="0.3">
      <c r="F115" s="1"/>
      <c r="L115" s="13"/>
    </row>
    <row r="116" spans="6:12" x14ac:dyDescent="0.3">
      <c r="F116" s="1"/>
      <c r="L116" s="13"/>
    </row>
    <row r="117" spans="6:12" x14ac:dyDescent="0.3">
      <c r="F117" s="1"/>
      <c r="L117" s="13"/>
    </row>
    <row r="118" spans="6:12" x14ac:dyDescent="0.3">
      <c r="F118" s="1"/>
      <c r="L118" s="13"/>
    </row>
    <row r="119" spans="6:12" x14ac:dyDescent="0.3">
      <c r="F119" s="1"/>
      <c r="L119" s="13"/>
    </row>
    <row r="120" spans="6:12" x14ac:dyDescent="0.3">
      <c r="F120" s="1"/>
      <c r="L120" s="13"/>
    </row>
    <row r="121" spans="6:12" x14ac:dyDescent="0.3">
      <c r="F121" s="1"/>
      <c r="L121" s="13"/>
    </row>
    <row r="122" spans="6:12" x14ac:dyDescent="0.3">
      <c r="F122" s="1"/>
      <c r="L122" s="13"/>
    </row>
    <row r="123" spans="6:12" x14ac:dyDescent="0.3">
      <c r="F123" s="1"/>
      <c r="L123" s="13"/>
    </row>
    <row r="124" spans="6:12" x14ac:dyDescent="0.3">
      <c r="F124" s="1"/>
      <c r="L124" s="13"/>
    </row>
    <row r="125" spans="6:12" x14ac:dyDescent="0.3">
      <c r="F125" s="1"/>
      <c r="L125" s="13"/>
    </row>
    <row r="126" spans="6:12" x14ac:dyDescent="0.3">
      <c r="F126" s="1"/>
      <c r="L126" s="13"/>
    </row>
    <row r="127" spans="6:12" x14ac:dyDescent="0.3">
      <c r="F127" s="1"/>
      <c r="L127" s="13"/>
    </row>
    <row r="128" spans="6:12" x14ac:dyDescent="0.3">
      <c r="F128" s="1"/>
      <c r="L128" s="13"/>
    </row>
    <row r="129" spans="6:12" x14ac:dyDescent="0.3">
      <c r="F129" s="1"/>
      <c r="L129" s="13"/>
    </row>
    <row r="130" spans="6:12" x14ac:dyDescent="0.3">
      <c r="F130" s="1"/>
      <c r="L130" s="13"/>
    </row>
    <row r="131" spans="6:12" x14ac:dyDescent="0.3">
      <c r="F131" s="1"/>
      <c r="L131" s="13"/>
    </row>
    <row r="132" spans="6:12" x14ac:dyDescent="0.3">
      <c r="F132" s="1"/>
      <c r="L132" s="13"/>
    </row>
    <row r="133" spans="6:12" x14ac:dyDescent="0.3">
      <c r="F133" s="1"/>
      <c r="L133" s="13"/>
    </row>
    <row r="134" spans="6:12" x14ac:dyDescent="0.3">
      <c r="F134" s="1"/>
      <c r="L134" s="13"/>
    </row>
    <row r="135" spans="6:12" x14ac:dyDescent="0.3">
      <c r="F135" s="1"/>
      <c r="L135" s="13"/>
    </row>
    <row r="136" spans="6:12" x14ac:dyDescent="0.3">
      <c r="F136" s="1"/>
      <c r="L136" s="13"/>
    </row>
    <row r="137" spans="6:12" x14ac:dyDescent="0.3">
      <c r="F137" s="1"/>
      <c r="L137" s="13"/>
    </row>
    <row r="138" spans="6:12" x14ac:dyDescent="0.3">
      <c r="F138" s="1"/>
      <c r="L138" s="13"/>
    </row>
    <row r="139" spans="6:12" x14ac:dyDescent="0.3">
      <c r="F139" s="1"/>
      <c r="L139" s="13"/>
    </row>
    <row r="140" spans="6:12" x14ac:dyDescent="0.3">
      <c r="F140" s="1"/>
      <c r="L140" s="13"/>
    </row>
    <row r="141" spans="6:12" x14ac:dyDescent="0.3">
      <c r="F141" s="1"/>
      <c r="L141" s="13"/>
    </row>
    <row r="142" spans="6:12" x14ac:dyDescent="0.3">
      <c r="F142" s="1"/>
      <c r="L142" s="13"/>
    </row>
    <row r="143" spans="6:12" x14ac:dyDescent="0.3">
      <c r="F143" s="1"/>
      <c r="L143" s="13"/>
    </row>
    <row r="144" spans="6:12" x14ac:dyDescent="0.3">
      <c r="F144" s="1"/>
      <c r="L144" s="13"/>
    </row>
    <row r="145" spans="6:12" x14ac:dyDescent="0.3">
      <c r="F145" s="1"/>
      <c r="L145" s="13"/>
    </row>
    <row r="146" spans="6:12" x14ac:dyDescent="0.3">
      <c r="F146" s="1"/>
      <c r="L146" s="13"/>
    </row>
    <row r="147" spans="6:12" x14ac:dyDescent="0.3">
      <c r="F147" s="1"/>
      <c r="L147" s="13"/>
    </row>
    <row r="148" spans="6:12" x14ac:dyDescent="0.3">
      <c r="F148" s="1"/>
      <c r="L148" s="13"/>
    </row>
    <row r="149" spans="6:12" x14ac:dyDescent="0.3">
      <c r="F149" s="1"/>
      <c r="L149" s="13"/>
    </row>
    <row r="150" spans="6:12" x14ac:dyDescent="0.3">
      <c r="F150" s="1"/>
      <c r="L150" s="13"/>
    </row>
    <row r="151" spans="6:12" x14ac:dyDescent="0.3">
      <c r="F151" s="1"/>
      <c r="L151" s="13"/>
    </row>
    <row r="152" spans="6:12" x14ac:dyDescent="0.3">
      <c r="F152" s="1"/>
      <c r="L152" s="13"/>
    </row>
    <row r="153" spans="6:12" x14ac:dyDescent="0.3">
      <c r="F153" s="1"/>
      <c r="L153" s="13"/>
    </row>
    <row r="154" spans="6:12" x14ac:dyDescent="0.3">
      <c r="F154" s="1"/>
      <c r="L154" s="13"/>
    </row>
    <row r="155" spans="6:12" x14ac:dyDescent="0.3">
      <c r="F155" s="1"/>
      <c r="L155" s="13"/>
    </row>
    <row r="156" spans="6:12" x14ac:dyDescent="0.3">
      <c r="F156" s="1"/>
      <c r="L156" s="13"/>
    </row>
    <row r="157" spans="6:12" x14ac:dyDescent="0.3">
      <c r="F157" s="1"/>
      <c r="L157" s="13"/>
    </row>
    <row r="158" spans="6:12" x14ac:dyDescent="0.3">
      <c r="F158" s="1"/>
      <c r="L158" s="13"/>
    </row>
    <row r="159" spans="6:12" x14ac:dyDescent="0.3">
      <c r="F159" s="1"/>
      <c r="L159" s="13"/>
    </row>
    <row r="160" spans="6:12" x14ac:dyDescent="0.3">
      <c r="F160" s="1"/>
      <c r="L160" s="13"/>
    </row>
    <row r="161" spans="6:12" x14ac:dyDescent="0.3">
      <c r="F161" s="1"/>
      <c r="L161" s="13"/>
    </row>
    <row r="162" spans="6:12" x14ac:dyDescent="0.3">
      <c r="F162" s="1"/>
      <c r="L162" s="13"/>
    </row>
    <row r="163" spans="6:12" x14ac:dyDescent="0.3">
      <c r="F163" s="1"/>
      <c r="L163" s="13"/>
    </row>
    <row r="164" spans="6:12" x14ac:dyDescent="0.3">
      <c r="F164" s="1"/>
      <c r="L164" s="13"/>
    </row>
    <row r="165" spans="6:12" x14ac:dyDescent="0.3">
      <c r="F165" s="1"/>
      <c r="L165" s="13"/>
    </row>
    <row r="166" spans="6:12" x14ac:dyDescent="0.3">
      <c r="F166" s="1"/>
      <c r="L166" s="13"/>
    </row>
    <row r="167" spans="6:12" x14ac:dyDescent="0.3">
      <c r="F167" s="1"/>
      <c r="L167" s="13"/>
    </row>
    <row r="168" spans="6:12" x14ac:dyDescent="0.3">
      <c r="F168" s="1"/>
      <c r="L168" s="13"/>
    </row>
    <row r="169" spans="6:12" x14ac:dyDescent="0.3">
      <c r="F169" s="1"/>
      <c r="L169" s="13"/>
    </row>
    <row r="170" spans="6:12" x14ac:dyDescent="0.3">
      <c r="F170" s="1"/>
      <c r="L170" s="13"/>
    </row>
    <row r="171" spans="6:12" x14ac:dyDescent="0.3">
      <c r="F171" s="1"/>
      <c r="L171" s="13"/>
    </row>
    <row r="172" spans="6:12" x14ac:dyDescent="0.3">
      <c r="F172" s="1"/>
      <c r="L172" s="13"/>
    </row>
    <row r="173" spans="6:12" x14ac:dyDescent="0.3">
      <c r="F173" s="1"/>
      <c r="L173" s="13"/>
    </row>
    <row r="174" spans="6:12" x14ac:dyDescent="0.3">
      <c r="F174" s="1"/>
      <c r="L174" s="13"/>
    </row>
    <row r="175" spans="6:12" x14ac:dyDescent="0.3">
      <c r="F175" s="1"/>
      <c r="L175" s="13"/>
    </row>
    <row r="176" spans="6:12" x14ac:dyDescent="0.3">
      <c r="F176" s="1"/>
      <c r="L176" s="13"/>
    </row>
    <row r="177" spans="6:12" x14ac:dyDescent="0.3">
      <c r="F177" s="1"/>
      <c r="L177" s="13"/>
    </row>
    <row r="178" spans="6:12" x14ac:dyDescent="0.3">
      <c r="F178" s="1"/>
      <c r="L178" s="13"/>
    </row>
    <row r="179" spans="6:12" x14ac:dyDescent="0.3">
      <c r="F179" s="1"/>
      <c r="L179" s="13"/>
    </row>
    <row r="180" spans="6:12" x14ac:dyDescent="0.3">
      <c r="F180" s="1"/>
      <c r="L180" s="13"/>
    </row>
    <row r="181" spans="6:12" x14ac:dyDescent="0.3">
      <c r="F181" s="1"/>
      <c r="L181" s="13"/>
    </row>
    <row r="182" spans="6:12" x14ac:dyDescent="0.3">
      <c r="F182" s="1"/>
      <c r="L182" s="13"/>
    </row>
    <row r="183" spans="6:12" x14ac:dyDescent="0.3">
      <c r="F183" s="1"/>
      <c r="L183" s="13"/>
    </row>
    <row r="184" spans="6:12" x14ac:dyDescent="0.3">
      <c r="F184" s="1"/>
      <c r="L184" s="13"/>
    </row>
    <row r="185" spans="6:12" x14ac:dyDescent="0.3">
      <c r="F185" s="1"/>
      <c r="L185" s="13"/>
    </row>
    <row r="186" spans="6:12" x14ac:dyDescent="0.3">
      <c r="F186" s="1"/>
      <c r="L186" s="13"/>
    </row>
    <row r="187" spans="6:12" x14ac:dyDescent="0.3">
      <c r="F187" s="1"/>
      <c r="L187" s="13"/>
    </row>
    <row r="188" spans="6:12" x14ac:dyDescent="0.3">
      <c r="F188" s="1"/>
      <c r="L188" s="13"/>
    </row>
    <row r="189" spans="6:12" x14ac:dyDescent="0.3">
      <c r="F189" s="1"/>
      <c r="L189" s="13"/>
    </row>
    <row r="190" spans="6:12" x14ac:dyDescent="0.3">
      <c r="F190" s="1"/>
      <c r="L190" s="13"/>
    </row>
    <row r="191" spans="6:12" x14ac:dyDescent="0.3">
      <c r="F191" s="1"/>
      <c r="L191" s="13"/>
    </row>
    <row r="192" spans="6:12" x14ac:dyDescent="0.3">
      <c r="F192" s="1"/>
      <c r="L192" s="13"/>
    </row>
    <row r="193" spans="6:12" x14ac:dyDescent="0.3">
      <c r="F193" s="1"/>
      <c r="L193" s="13"/>
    </row>
    <row r="194" spans="6:12" x14ac:dyDescent="0.3">
      <c r="F194" s="1"/>
      <c r="L194" s="13"/>
    </row>
    <row r="195" spans="6:12" x14ac:dyDescent="0.3">
      <c r="F195" s="1"/>
      <c r="L195" s="13"/>
    </row>
    <row r="196" spans="6:12" x14ac:dyDescent="0.3">
      <c r="F196" s="1"/>
      <c r="L196" s="13"/>
    </row>
    <row r="197" spans="6:12" x14ac:dyDescent="0.3">
      <c r="F197" s="1"/>
      <c r="L197" s="13"/>
    </row>
    <row r="198" spans="6:12" x14ac:dyDescent="0.3">
      <c r="F198" s="1"/>
      <c r="L198" s="13"/>
    </row>
    <row r="199" spans="6:12" x14ac:dyDescent="0.3">
      <c r="F199" s="1"/>
      <c r="L199" s="13"/>
    </row>
    <row r="200" spans="6:12" x14ac:dyDescent="0.3">
      <c r="F200" s="1"/>
      <c r="L200" s="13"/>
    </row>
    <row r="201" spans="6:12" x14ac:dyDescent="0.3">
      <c r="F201" s="1"/>
      <c r="L201" s="13"/>
    </row>
    <row r="202" spans="6:12" x14ac:dyDescent="0.3">
      <c r="F202" s="1"/>
      <c r="L202" s="13"/>
    </row>
    <row r="203" spans="6:12" x14ac:dyDescent="0.3">
      <c r="F203" s="1"/>
      <c r="L203" s="13"/>
    </row>
    <row r="204" spans="6:12" x14ac:dyDescent="0.3">
      <c r="F204" s="1"/>
      <c r="L204" s="13"/>
    </row>
    <row r="205" spans="6:12" x14ac:dyDescent="0.3">
      <c r="F205" s="1"/>
      <c r="L205" s="13"/>
    </row>
    <row r="206" spans="6:12" x14ac:dyDescent="0.3">
      <c r="F206" s="1"/>
      <c r="L206" s="13"/>
    </row>
    <row r="207" spans="6:12" x14ac:dyDescent="0.3">
      <c r="F207" s="1"/>
      <c r="L207" s="13"/>
    </row>
    <row r="208" spans="6:12" x14ac:dyDescent="0.3">
      <c r="F208" s="1"/>
      <c r="L208" s="13"/>
    </row>
    <row r="209" spans="6:12" x14ac:dyDescent="0.3">
      <c r="F209" s="1"/>
      <c r="L209" s="13"/>
    </row>
    <row r="210" spans="6:12" x14ac:dyDescent="0.3">
      <c r="F210" s="1"/>
      <c r="L210" s="13"/>
    </row>
    <row r="211" spans="6:12" x14ac:dyDescent="0.3">
      <c r="F211" s="1"/>
      <c r="L211" s="13"/>
    </row>
    <row r="212" spans="6:12" x14ac:dyDescent="0.3">
      <c r="F212" s="1"/>
      <c r="L212" s="13"/>
    </row>
    <row r="213" spans="6:12" x14ac:dyDescent="0.3">
      <c r="F213" s="1"/>
      <c r="L213" s="13"/>
    </row>
    <row r="214" spans="6:12" x14ac:dyDescent="0.3">
      <c r="F214" s="1"/>
      <c r="L214" s="13"/>
    </row>
    <row r="215" spans="6:12" x14ac:dyDescent="0.3">
      <c r="F215" s="1"/>
      <c r="L215" s="13"/>
    </row>
    <row r="216" spans="6:12" x14ac:dyDescent="0.3">
      <c r="F216" s="1"/>
      <c r="L216" s="13"/>
    </row>
    <row r="217" spans="6:12" x14ac:dyDescent="0.3">
      <c r="F217" s="1"/>
      <c r="L217" s="13"/>
    </row>
    <row r="218" spans="6:12" x14ac:dyDescent="0.3">
      <c r="F218" s="1"/>
      <c r="L218" s="13"/>
    </row>
    <row r="219" spans="6:12" x14ac:dyDescent="0.3">
      <c r="F219" s="1"/>
      <c r="L219" s="13"/>
    </row>
    <row r="220" spans="6:12" x14ac:dyDescent="0.3">
      <c r="F220" s="1"/>
      <c r="L220" s="13"/>
    </row>
    <row r="221" spans="6:12" x14ac:dyDescent="0.3">
      <c r="F221" s="1"/>
      <c r="L221" s="13"/>
    </row>
    <row r="222" spans="6:12" x14ac:dyDescent="0.3">
      <c r="F222" s="1"/>
      <c r="L222" s="13"/>
    </row>
    <row r="223" spans="6:12" x14ac:dyDescent="0.3">
      <c r="F223" s="1"/>
      <c r="L223" s="13"/>
    </row>
    <row r="224" spans="6:12" x14ac:dyDescent="0.3">
      <c r="F224" s="1"/>
      <c r="L224" s="13"/>
    </row>
    <row r="225" spans="6:12" x14ac:dyDescent="0.3">
      <c r="F225" s="1"/>
      <c r="L225" s="13"/>
    </row>
    <row r="226" spans="6:12" x14ac:dyDescent="0.3">
      <c r="F226" s="1"/>
      <c r="L226" s="13"/>
    </row>
    <row r="227" spans="6:12" x14ac:dyDescent="0.3">
      <c r="F227" s="1"/>
      <c r="L227" s="13"/>
    </row>
    <row r="228" spans="6:12" x14ac:dyDescent="0.3">
      <c r="F228" s="1"/>
      <c r="L228" s="13"/>
    </row>
    <row r="229" spans="6:12" x14ac:dyDescent="0.3">
      <c r="F229" s="1"/>
      <c r="L229" s="13"/>
    </row>
    <row r="230" spans="6:12" x14ac:dyDescent="0.3">
      <c r="F230" s="1"/>
      <c r="L230" s="13"/>
    </row>
    <row r="231" spans="6:12" x14ac:dyDescent="0.3">
      <c r="F231" s="1"/>
      <c r="L231" s="13"/>
    </row>
    <row r="232" spans="6:12" x14ac:dyDescent="0.3">
      <c r="F232" s="1"/>
      <c r="L232" s="13"/>
    </row>
    <row r="233" spans="6:12" x14ac:dyDescent="0.3">
      <c r="F233" s="1"/>
      <c r="L233" s="13"/>
    </row>
    <row r="234" spans="6:12" x14ac:dyDescent="0.3">
      <c r="F234" s="1"/>
      <c r="L234" s="13"/>
    </row>
    <row r="235" spans="6:12" x14ac:dyDescent="0.3">
      <c r="F235" s="1"/>
      <c r="L235" s="13"/>
    </row>
    <row r="236" spans="6:12" x14ac:dyDescent="0.3">
      <c r="F236" s="1"/>
      <c r="L236" s="13"/>
    </row>
    <row r="237" spans="6:12" x14ac:dyDescent="0.3">
      <c r="F237" s="1"/>
      <c r="L237" s="13"/>
    </row>
    <row r="238" spans="6:12" x14ac:dyDescent="0.3">
      <c r="F238" s="1"/>
      <c r="L238" s="13"/>
    </row>
    <row r="239" spans="6:12" x14ac:dyDescent="0.3">
      <c r="F239" s="1"/>
      <c r="L239" s="13"/>
    </row>
    <row r="240" spans="6:12" x14ac:dyDescent="0.3">
      <c r="F240" s="1"/>
      <c r="L240" s="13"/>
    </row>
    <row r="241" spans="6:12" x14ac:dyDescent="0.3">
      <c r="F241" s="1"/>
      <c r="L241" s="13"/>
    </row>
    <row r="242" spans="6:12" x14ac:dyDescent="0.3">
      <c r="F242" s="1"/>
      <c r="L242" s="13"/>
    </row>
    <row r="243" spans="6:12" x14ac:dyDescent="0.3">
      <c r="F243" s="1"/>
      <c r="L243" s="13"/>
    </row>
    <row r="244" spans="6:12" x14ac:dyDescent="0.3">
      <c r="F244" s="1"/>
      <c r="L244" s="13"/>
    </row>
    <row r="245" spans="6:12" x14ac:dyDescent="0.3">
      <c r="F245" s="1"/>
      <c r="L245" s="13"/>
    </row>
    <row r="246" spans="6:12" x14ac:dyDescent="0.3">
      <c r="F246" s="1"/>
      <c r="L246" s="13"/>
    </row>
    <row r="247" spans="6:12" x14ac:dyDescent="0.3">
      <c r="F247" s="1"/>
      <c r="L247" s="13"/>
    </row>
    <row r="248" spans="6:12" x14ac:dyDescent="0.3">
      <c r="F248" s="1"/>
      <c r="L248" s="13"/>
    </row>
    <row r="249" spans="6:12" x14ac:dyDescent="0.3">
      <c r="F249" s="1"/>
      <c r="L249" s="13"/>
    </row>
    <row r="250" spans="6:12" x14ac:dyDescent="0.3">
      <c r="F250" s="1"/>
      <c r="L250" s="13"/>
    </row>
    <row r="251" spans="6:12" x14ac:dyDescent="0.3">
      <c r="F251" s="1"/>
      <c r="L251" s="13"/>
    </row>
    <row r="252" spans="6:12" x14ac:dyDescent="0.3">
      <c r="F252" s="1"/>
      <c r="L252" s="13"/>
    </row>
    <row r="253" spans="6:12" x14ac:dyDescent="0.3">
      <c r="F253" s="1"/>
      <c r="L253" s="13"/>
    </row>
    <row r="254" spans="6:12" x14ac:dyDescent="0.3">
      <c r="F254" s="1"/>
      <c r="L254" s="13"/>
    </row>
    <row r="255" spans="6:12" x14ac:dyDescent="0.3">
      <c r="F255" s="1"/>
      <c r="L255" s="13"/>
    </row>
    <row r="256" spans="6:12" x14ac:dyDescent="0.3">
      <c r="F256" s="1"/>
      <c r="L256" s="13"/>
    </row>
    <row r="257" spans="6:12" x14ac:dyDescent="0.3">
      <c r="F257" s="1"/>
      <c r="L257" s="13"/>
    </row>
    <row r="258" spans="6:12" x14ac:dyDescent="0.3">
      <c r="F258" s="1"/>
      <c r="L258" s="13"/>
    </row>
    <row r="259" spans="6:12" x14ac:dyDescent="0.3">
      <c r="F259" s="1"/>
      <c r="L259" s="13"/>
    </row>
    <row r="260" spans="6:12" x14ac:dyDescent="0.3">
      <c r="F260" s="1"/>
      <c r="L260" s="13"/>
    </row>
    <row r="261" spans="6:12" x14ac:dyDescent="0.3">
      <c r="F261" s="1"/>
      <c r="L261" s="13"/>
    </row>
    <row r="262" spans="6:12" x14ac:dyDescent="0.3">
      <c r="F262" s="1"/>
      <c r="L262" s="13"/>
    </row>
    <row r="263" spans="6:12" x14ac:dyDescent="0.3">
      <c r="F263" s="1"/>
      <c r="L263" s="13"/>
    </row>
    <row r="264" spans="6:12" x14ac:dyDescent="0.3">
      <c r="F264" s="1"/>
      <c r="L264" s="13"/>
    </row>
    <row r="265" spans="6:12" x14ac:dyDescent="0.3">
      <c r="F265" s="1"/>
      <c r="L265" s="13"/>
    </row>
    <row r="266" spans="6:12" x14ac:dyDescent="0.3">
      <c r="F266" s="1"/>
      <c r="L266" s="13"/>
    </row>
    <row r="267" spans="6:12" x14ac:dyDescent="0.3">
      <c r="F267" s="1"/>
      <c r="L267" s="13"/>
    </row>
    <row r="268" spans="6:12" x14ac:dyDescent="0.3">
      <c r="F268" s="1"/>
      <c r="L268" s="13"/>
    </row>
    <row r="269" spans="6:12" x14ac:dyDescent="0.3">
      <c r="F269" s="1"/>
      <c r="L269" s="13"/>
    </row>
    <row r="270" spans="6:12" x14ac:dyDescent="0.3">
      <c r="F270" s="1"/>
      <c r="L270" s="13"/>
    </row>
    <row r="271" spans="6:12" x14ac:dyDescent="0.3">
      <c r="F271" s="1"/>
      <c r="L271" s="13"/>
    </row>
    <row r="272" spans="6:12" x14ac:dyDescent="0.3">
      <c r="F272" s="1"/>
      <c r="L272" s="13"/>
    </row>
    <row r="273" spans="6:12" x14ac:dyDescent="0.3">
      <c r="F273" s="1"/>
      <c r="L273" s="13"/>
    </row>
    <row r="274" spans="6:12" x14ac:dyDescent="0.3">
      <c r="F274" s="1"/>
      <c r="L274" s="13"/>
    </row>
    <row r="275" spans="6:12" x14ac:dyDescent="0.3">
      <c r="F275" s="1"/>
      <c r="L275" s="13"/>
    </row>
    <row r="276" spans="6:12" x14ac:dyDescent="0.3">
      <c r="F276" s="1"/>
      <c r="L276" s="13"/>
    </row>
    <row r="277" spans="6:12" x14ac:dyDescent="0.3">
      <c r="F277" s="1"/>
      <c r="L277" s="13"/>
    </row>
    <row r="278" spans="6:12" x14ac:dyDescent="0.3">
      <c r="F278" s="1"/>
      <c r="L278" s="13"/>
    </row>
    <row r="279" spans="6:12" x14ac:dyDescent="0.3">
      <c r="F279" s="1"/>
      <c r="L279" s="13"/>
    </row>
    <row r="280" spans="6:12" x14ac:dyDescent="0.3">
      <c r="F280" s="1"/>
      <c r="L280" s="13"/>
    </row>
    <row r="281" spans="6:12" x14ac:dyDescent="0.3">
      <c r="F281" s="1"/>
      <c r="L281" s="13"/>
    </row>
    <row r="282" spans="6:12" x14ac:dyDescent="0.3">
      <c r="F282" s="1"/>
      <c r="L282" s="13"/>
    </row>
    <row r="283" spans="6:12" x14ac:dyDescent="0.3">
      <c r="F283" s="1"/>
      <c r="L283" s="13"/>
    </row>
    <row r="284" spans="6:12" x14ac:dyDescent="0.3">
      <c r="F284" s="1"/>
      <c r="L284" s="13"/>
    </row>
    <row r="285" spans="6:12" x14ac:dyDescent="0.3">
      <c r="F285" s="1"/>
      <c r="L285" s="13"/>
    </row>
    <row r="286" spans="6:12" x14ac:dyDescent="0.3">
      <c r="F286" s="1"/>
      <c r="L286" s="13"/>
    </row>
    <row r="287" spans="6:12" x14ac:dyDescent="0.3">
      <c r="F287" s="1"/>
      <c r="L287" s="13"/>
    </row>
    <row r="288" spans="6:12" x14ac:dyDescent="0.3">
      <c r="F288" s="1"/>
      <c r="L288" s="13"/>
    </row>
    <row r="289" spans="6:12" x14ac:dyDescent="0.3">
      <c r="F289" s="1"/>
      <c r="L289" s="13"/>
    </row>
    <row r="290" spans="6:12" x14ac:dyDescent="0.3">
      <c r="F290" s="1"/>
      <c r="L290" s="13"/>
    </row>
    <row r="291" spans="6:12" x14ac:dyDescent="0.3">
      <c r="F291" s="1"/>
      <c r="L291" s="13"/>
    </row>
    <row r="292" spans="6:12" x14ac:dyDescent="0.3">
      <c r="F292" s="1"/>
      <c r="L292" s="13"/>
    </row>
    <row r="293" spans="6:12" x14ac:dyDescent="0.3">
      <c r="F293" s="1"/>
      <c r="L293" s="13"/>
    </row>
    <row r="294" spans="6:12" x14ac:dyDescent="0.3">
      <c r="F294" s="1"/>
      <c r="L294" s="13"/>
    </row>
    <row r="295" spans="6:12" x14ac:dyDescent="0.3">
      <c r="F295" s="1"/>
      <c r="L295" s="13"/>
    </row>
    <row r="296" spans="6:12" x14ac:dyDescent="0.3">
      <c r="F296" s="1"/>
      <c r="L296" s="13"/>
    </row>
    <row r="297" spans="6:12" x14ac:dyDescent="0.3">
      <c r="F297" s="1"/>
      <c r="L297" s="13"/>
    </row>
    <row r="298" spans="6:12" x14ac:dyDescent="0.3">
      <c r="F298" s="1"/>
      <c r="L298" s="13"/>
    </row>
    <row r="299" spans="6:12" x14ac:dyDescent="0.3">
      <c r="F299" s="1"/>
      <c r="L299" s="13"/>
    </row>
    <row r="300" spans="6:12" x14ac:dyDescent="0.3">
      <c r="F300" s="1"/>
      <c r="L300" s="13"/>
    </row>
    <row r="301" spans="6:12" x14ac:dyDescent="0.3">
      <c r="F301" s="1"/>
      <c r="L301" s="13"/>
    </row>
    <row r="302" spans="6:12" x14ac:dyDescent="0.3">
      <c r="F302" s="1"/>
      <c r="L302" s="13"/>
    </row>
    <row r="303" spans="6:12" x14ac:dyDescent="0.3">
      <c r="F303" s="1"/>
      <c r="L303" s="13"/>
    </row>
    <row r="304" spans="6:12" x14ac:dyDescent="0.3">
      <c r="F304" s="1"/>
      <c r="L304" s="13"/>
    </row>
    <row r="305" spans="6:12" x14ac:dyDescent="0.3">
      <c r="F305" s="1"/>
      <c r="L305" s="13"/>
    </row>
    <row r="306" spans="6:12" x14ac:dyDescent="0.3">
      <c r="F306" s="1"/>
      <c r="L306" s="13"/>
    </row>
    <row r="307" spans="6:12" x14ac:dyDescent="0.3">
      <c r="F307" s="1"/>
      <c r="L307" s="13"/>
    </row>
    <row r="308" spans="6:12" x14ac:dyDescent="0.3">
      <c r="L308" s="13"/>
    </row>
    <row r="309" spans="6:12" x14ac:dyDescent="0.3">
      <c r="L309" s="13"/>
    </row>
    <row r="310" spans="6:12" x14ac:dyDescent="0.3">
      <c r="L310" s="13"/>
    </row>
    <row r="311" spans="6:12" x14ac:dyDescent="0.3">
      <c r="L311" s="13"/>
    </row>
    <row r="312" spans="6:12" x14ac:dyDescent="0.3">
      <c r="L312" s="13"/>
    </row>
    <row r="313" spans="6:12" x14ac:dyDescent="0.3">
      <c r="L313" s="13"/>
    </row>
    <row r="314" spans="6:12" x14ac:dyDescent="0.3">
      <c r="L314" s="13"/>
    </row>
    <row r="315" spans="6:12" x14ac:dyDescent="0.3">
      <c r="L315" s="13"/>
    </row>
    <row r="316" spans="6:12" x14ac:dyDescent="0.3">
      <c r="L316" s="13"/>
    </row>
    <row r="317" spans="6:12" x14ac:dyDescent="0.3">
      <c r="L317" s="13"/>
    </row>
    <row r="318" spans="6:12" x14ac:dyDescent="0.3">
      <c r="L318" s="13"/>
    </row>
    <row r="319" spans="6:12" x14ac:dyDescent="0.3">
      <c r="L319" s="13"/>
    </row>
    <row r="320" spans="6:12" x14ac:dyDescent="0.3">
      <c r="L320" s="13"/>
    </row>
    <row r="321" spans="12:12" x14ac:dyDescent="0.3">
      <c r="L321" s="13"/>
    </row>
    <row r="322" spans="12:12" x14ac:dyDescent="0.3">
      <c r="L322" s="13"/>
    </row>
    <row r="323" spans="12:12" x14ac:dyDescent="0.3">
      <c r="L323" s="13"/>
    </row>
    <row r="324" spans="12:12" x14ac:dyDescent="0.3">
      <c r="L324" s="13"/>
    </row>
    <row r="325" spans="12:12" x14ac:dyDescent="0.3">
      <c r="L325" s="13"/>
    </row>
    <row r="326" spans="12:12" x14ac:dyDescent="0.3">
      <c r="L326" s="13"/>
    </row>
    <row r="327" spans="12:12" x14ac:dyDescent="0.3">
      <c r="L327" s="13"/>
    </row>
    <row r="328" spans="12:12" x14ac:dyDescent="0.3">
      <c r="L328" s="13"/>
    </row>
    <row r="329" spans="12:12" x14ac:dyDescent="0.3">
      <c r="L329" s="13"/>
    </row>
    <row r="330" spans="12:12" x14ac:dyDescent="0.3">
      <c r="L330" s="13"/>
    </row>
    <row r="331" spans="12:12" x14ac:dyDescent="0.3">
      <c r="L331" s="13"/>
    </row>
    <row r="332" spans="12:12" x14ac:dyDescent="0.3">
      <c r="L332" s="13"/>
    </row>
    <row r="333" spans="12:12" x14ac:dyDescent="0.3">
      <c r="L333" s="13"/>
    </row>
    <row r="334" spans="12:12" x14ac:dyDescent="0.3">
      <c r="L334" s="13"/>
    </row>
    <row r="335" spans="12:12" x14ac:dyDescent="0.3">
      <c r="L335" s="13"/>
    </row>
    <row r="336" spans="12:12" x14ac:dyDescent="0.3">
      <c r="L336" s="13"/>
    </row>
    <row r="337" spans="12:12" x14ac:dyDescent="0.3">
      <c r="L337" s="13"/>
    </row>
    <row r="338" spans="12:12" x14ac:dyDescent="0.3">
      <c r="L338" s="13"/>
    </row>
    <row r="339" spans="12:12" x14ac:dyDescent="0.3">
      <c r="L339" s="13"/>
    </row>
    <row r="340" spans="12:12" x14ac:dyDescent="0.3">
      <c r="L340" s="13"/>
    </row>
    <row r="341" spans="12:12" x14ac:dyDescent="0.3">
      <c r="L341" s="13"/>
    </row>
    <row r="342" spans="12:12" x14ac:dyDescent="0.3">
      <c r="L342" s="13"/>
    </row>
    <row r="343" spans="12:12" x14ac:dyDescent="0.3">
      <c r="L343" s="13"/>
    </row>
    <row r="344" spans="12:12" x14ac:dyDescent="0.3">
      <c r="L344" s="13"/>
    </row>
    <row r="345" spans="12:12" x14ac:dyDescent="0.3">
      <c r="L345" s="13"/>
    </row>
    <row r="346" spans="12:12" x14ac:dyDescent="0.3">
      <c r="L346" s="13"/>
    </row>
    <row r="347" spans="12:12" x14ac:dyDescent="0.3">
      <c r="L347" s="13"/>
    </row>
    <row r="348" spans="12:12" x14ac:dyDescent="0.3">
      <c r="L348" s="13"/>
    </row>
    <row r="349" spans="12:12" x14ac:dyDescent="0.3">
      <c r="L349" s="13"/>
    </row>
    <row r="350" spans="12:12" x14ac:dyDescent="0.3">
      <c r="L350" s="13"/>
    </row>
    <row r="351" spans="12:12" x14ac:dyDescent="0.3">
      <c r="L351" s="13"/>
    </row>
    <row r="352" spans="12:12" x14ac:dyDescent="0.3">
      <c r="L352" s="13"/>
    </row>
    <row r="353" spans="12:12" x14ac:dyDescent="0.3">
      <c r="L353" s="13"/>
    </row>
    <row r="354" spans="12:12" x14ac:dyDescent="0.3">
      <c r="L354" s="13"/>
    </row>
    <row r="355" spans="12:12" x14ac:dyDescent="0.3">
      <c r="L355" s="13"/>
    </row>
    <row r="356" spans="12:12" x14ac:dyDescent="0.3">
      <c r="L356" s="13"/>
    </row>
    <row r="357" spans="12:12" x14ac:dyDescent="0.3">
      <c r="L357" s="13"/>
    </row>
    <row r="358" spans="12:12" x14ac:dyDescent="0.3">
      <c r="L358" s="13"/>
    </row>
    <row r="359" spans="12:12" x14ac:dyDescent="0.3">
      <c r="L359" s="13"/>
    </row>
    <row r="360" spans="12:12" x14ac:dyDescent="0.3">
      <c r="L360" s="13"/>
    </row>
    <row r="361" spans="12:12" x14ac:dyDescent="0.3">
      <c r="L361" s="13"/>
    </row>
    <row r="362" spans="12:12" x14ac:dyDescent="0.3">
      <c r="L362" s="13"/>
    </row>
    <row r="363" spans="12:12" x14ac:dyDescent="0.3">
      <c r="L363" s="13"/>
    </row>
    <row r="364" spans="12:12" x14ac:dyDescent="0.3">
      <c r="L364" s="13"/>
    </row>
    <row r="365" spans="12:12" x14ac:dyDescent="0.3">
      <c r="L365" s="13"/>
    </row>
    <row r="366" spans="12:12" x14ac:dyDescent="0.3">
      <c r="L366" s="13"/>
    </row>
    <row r="367" spans="12:12" x14ac:dyDescent="0.3">
      <c r="L367" s="13"/>
    </row>
    <row r="368" spans="12:12" x14ac:dyDescent="0.3">
      <c r="L368" s="13"/>
    </row>
    <row r="369" spans="12:12" x14ac:dyDescent="0.3">
      <c r="L369" s="13"/>
    </row>
    <row r="370" spans="12:12" x14ac:dyDescent="0.3">
      <c r="L370" s="13"/>
    </row>
    <row r="371" spans="12:12" x14ac:dyDescent="0.3">
      <c r="L371" s="13"/>
    </row>
    <row r="372" spans="12:12" x14ac:dyDescent="0.3">
      <c r="L372" s="13"/>
    </row>
    <row r="373" spans="12:12" x14ac:dyDescent="0.3">
      <c r="L373" s="13"/>
    </row>
    <row r="374" spans="12:12" x14ac:dyDescent="0.3">
      <c r="L374" s="13"/>
    </row>
    <row r="375" spans="12:12" x14ac:dyDescent="0.3">
      <c r="L375" s="13"/>
    </row>
    <row r="376" spans="12:12" x14ac:dyDescent="0.3">
      <c r="L376" s="13"/>
    </row>
    <row r="377" spans="12:12" x14ac:dyDescent="0.3">
      <c r="L377" s="13"/>
    </row>
    <row r="378" spans="12:12" x14ac:dyDescent="0.3">
      <c r="L378" s="13"/>
    </row>
    <row r="379" spans="12:12" x14ac:dyDescent="0.3">
      <c r="L379" s="13"/>
    </row>
    <row r="380" spans="12:12" x14ac:dyDescent="0.3">
      <c r="L380" s="13"/>
    </row>
    <row r="381" spans="12:12" x14ac:dyDescent="0.3">
      <c r="L381" s="13"/>
    </row>
    <row r="382" spans="12:12" x14ac:dyDescent="0.3">
      <c r="L382" s="13"/>
    </row>
    <row r="383" spans="12:12" x14ac:dyDescent="0.3">
      <c r="L383" s="13"/>
    </row>
    <row r="384" spans="12:12" x14ac:dyDescent="0.3">
      <c r="L384" s="13"/>
    </row>
    <row r="385" spans="12:12" x14ac:dyDescent="0.3">
      <c r="L385" s="13"/>
    </row>
    <row r="386" spans="12:12" x14ac:dyDescent="0.3">
      <c r="L386" s="13"/>
    </row>
    <row r="387" spans="12:12" x14ac:dyDescent="0.3">
      <c r="L387" s="13"/>
    </row>
    <row r="388" spans="12:12" x14ac:dyDescent="0.3">
      <c r="L388" s="13"/>
    </row>
    <row r="389" spans="12:12" x14ac:dyDescent="0.3">
      <c r="L389" s="13"/>
    </row>
    <row r="390" spans="12:12" x14ac:dyDescent="0.3">
      <c r="L390" s="13"/>
    </row>
    <row r="391" spans="12:12" x14ac:dyDescent="0.3">
      <c r="L391" s="13"/>
    </row>
    <row r="392" spans="12:12" x14ac:dyDescent="0.3">
      <c r="L392" s="13"/>
    </row>
    <row r="393" spans="12:12" x14ac:dyDescent="0.3">
      <c r="L393" s="13"/>
    </row>
    <row r="394" spans="12:12" x14ac:dyDescent="0.3">
      <c r="L394" s="13"/>
    </row>
    <row r="395" spans="12:12" x14ac:dyDescent="0.3">
      <c r="L395" s="13"/>
    </row>
    <row r="396" spans="12:12" x14ac:dyDescent="0.3">
      <c r="L396" s="13"/>
    </row>
    <row r="397" spans="12:12" x14ac:dyDescent="0.3">
      <c r="L397" s="13"/>
    </row>
    <row r="398" spans="12:12" x14ac:dyDescent="0.3">
      <c r="L398" s="13"/>
    </row>
    <row r="399" spans="12:12" x14ac:dyDescent="0.3">
      <c r="L399" s="13"/>
    </row>
    <row r="400" spans="12:12" x14ac:dyDescent="0.3">
      <c r="L400" s="13"/>
    </row>
    <row r="401" spans="12:12" x14ac:dyDescent="0.3">
      <c r="L401" s="13"/>
    </row>
    <row r="402" spans="12:12" x14ac:dyDescent="0.3">
      <c r="L402" s="13"/>
    </row>
    <row r="403" spans="12:12" x14ac:dyDescent="0.3">
      <c r="L403" s="13"/>
    </row>
    <row r="404" spans="12:12" x14ac:dyDescent="0.3">
      <c r="L404" s="13"/>
    </row>
    <row r="405" spans="12:12" x14ac:dyDescent="0.3">
      <c r="L405" s="13"/>
    </row>
    <row r="406" spans="12:12" x14ac:dyDescent="0.3">
      <c r="L406" s="13"/>
    </row>
    <row r="407" spans="12:12" x14ac:dyDescent="0.3">
      <c r="L407" s="13"/>
    </row>
    <row r="408" spans="12:12" x14ac:dyDescent="0.3">
      <c r="L408" s="13"/>
    </row>
    <row r="409" spans="12:12" x14ac:dyDescent="0.3">
      <c r="L409" s="13"/>
    </row>
    <row r="410" spans="12:12" x14ac:dyDescent="0.3">
      <c r="L410" s="13"/>
    </row>
    <row r="411" spans="12:12" x14ac:dyDescent="0.3">
      <c r="L411" s="13"/>
    </row>
    <row r="412" spans="12:12" x14ac:dyDescent="0.3">
      <c r="L412" s="13"/>
    </row>
    <row r="413" spans="12:12" x14ac:dyDescent="0.3">
      <c r="L413" s="13"/>
    </row>
    <row r="414" spans="12:12" x14ac:dyDescent="0.3">
      <c r="L414" s="13"/>
    </row>
    <row r="415" spans="12:12" x14ac:dyDescent="0.3">
      <c r="L415" s="13"/>
    </row>
    <row r="416" spans="12:12" x14ac:dyDescent="0.3">
      <c r="L416" s="13"/>
    </row>
    <row r="417" spans="12:12" x14ac:dyDescent="0.3">
      <c r="L417" s="13"/>
    </row>
    <row r="418" spans="12:12" x14ac:dyDescent="0.3">
      <c r="L418" s="13"/>
    </row>
    <row r="419" spans="12:12" x14ac:dyDescent="0.3">
      <c r="L419" s="13"/>
    </row>
    <row r="420" spans="12:12" x14ac:dyDescent="0.3">
      <c r="L420" s="13"/>
    </row>
    <row r="421" spans="12:12" x14ac:dyDescent="0.3">
      <c r="L421" s="13"/>
    </row>
    <row r="422" spans="12:12" x14ac:dyDescent="0.3">
      <c r="L422" s="13"/>
    </row>
    <row r="423" spans="12:12" x14ac:dyDescent="0.3">
      <c r="L423" s="13"/>
    </row>
    <row r="424" spans="12:12" x14ac:dyDescent="0.3">
      <c r="L424" s="13"/>
    </row>
    <row r="425" spans="12:12" x14ac:dyDescent="0.3">
      <c r="L425" s="13"/>
    </row>
    <row r="426" spans="12:12" x14ac:dyDescent="0.3">
      <c r="L426" s="13"/>
    </row>
    <row r="427" spans="12:12" x14ac:dyDescent="0.3">
      <c r="L427" s="13"/>
    </row>
    <row r="428" spans="12:12" x14ac:dyDescent="0.3">
      <c r="L428" s="13"/>
    </row>
    <row r="429" spans="12:12" x14ac:dyDescent="0.3">
      <c r="L429" s="13"/>
    </row>
    <row r="430" spans="12:12" x14ac:dyDescent="0.3">
      <c r="L430" s="13"/>
    </row>
    <row r="431" spans="12:12" x14ac:dyDescent="0.3">
      <c r="L431" s="13"/>
    </row>
    <row r="432" spans="12:12" x14ac:dyDescent="0.3">
      <c r="L432" s="13"/>
    </row>
    <row r="433" spans="12:12" x14ac:dyDescent="0.3">
      <c r="L433" s="13"/>
    </row>
    <row r="434" spans="12:12" x14ac:dyDescent="0.3">
      <c r="L434" s="13"/>
    </row>
    <row r="435" spans="12:12" x14ac:dyDescent="0.3">
      <c r="L435" s="13"/>
    </row>
    <row r="436" spans="12:12" x14ac:dyDescent="0.3">
      <c r="L436" s="13"/>
    </row>
    <row r="437" spans="12:12" x14ac:dyDescent="0.3">
      <c r="L437" s="13"/>
    </row>
    <row r="438" spans="12:12" x14ac:dyDescent="0.3">
      <c r="L438" s="13"/>
    </row>
    <row r="439" spans="12:12" x14ac:dyDescent="0.3">
      <c r="L439" s="13"/>
    </row>
    <row r="440" spans="12:12" x14ac:dyDescent="0.3">
      <c r="L440" s="13"/>
    </row>
    <row r="441" spans="12:12" x14ac:dyDescent="0.3">
      <c r="L441" s="13"/>
    </row>
    <row r="442" spans="12:12" x14ac:dyDescent="0.3">
      <c r="L442" s="13"/>
    </row>
    <row r="443" spans="12:12" x14ac:dyDescent="0.3">
      <c r="L443" s="13"/>
    </row>
    <row r="444" spans="12:12" x14ac:dyDescent="0.3">
      <c r="L444" s="13"/>
    </row>
    <row r="445" spans="12:12" x14ac:dyDescent="0.3">
      <c r="L445" s="13"/>
    </row>
    <row r="446" spans="12:12" x14ac:dyDescent="0.3">
      <c r="L446" s="13"/>
    </row>
    <row r="447" spans="12:12" x14ac:dyDescent="0.3">
      <c r="L447" s="13"/>
    </row>
    <row r="448" spans="12:12" x14ac:dyDescent="0.3">
      <c r="L448" s="13"/>
    </row>
    <row r="449" spans="12:12" x14ac:dyDescent="0.3">
      <c r="L449" s="13"/>
    </row>
    <row r="450" spans="12:12" x14ac:dyDescent="0.3">
      <c r="L450" s="13"/>
    </row>
    <row r="451" spans="12:12" x14ac:dyDescent="0.3">
      <c r="L451" s="13"/>
    </row>
    <row r="452" spans="12:12" x14ac:dyDescent="0.3">
      <c r="L452" s="13"/>
    </row>
    <row r="453" spans="12:12" x14ac:dyDescent="0.3">
      <c r="L453" s="13"/>
    </row>
    <row r="454" spans="12:12" x14ac:dyDescent="0.3">
      <c r="L454" s="13"/>
    </row>
    <row r="455" spans="12:12" x14ac:dyDescent="0.3">
      <c r="L455" s="13"/>
    </row>
    <row r="456" spans="12:12" x14ac:dyDescent="0.3">
      <c r="L456" s="13"/>
    </row>
    <row r="457" spans="12:12" x14ac:dyDescent="0.3">
      <c r="L457" s="13"/>
    </row>
    <row r="458" spans="12:12" x14ac:dyDescent="0.3">
      <c r="L458" s="13"/>
    </row>
    <row r="459" spans="12:12" x14ac:dyDescent="0.3">
      <c r="L459" s="13"/>
    </row>
    <row r="460" spans="12:12" x14ac:dyDescent="0.3">
      <c r="L460" s="13"/>
    </row>
    <row r="461" spans="12:12" x14ac:dyDescent="0.3">
      <c r="L461" s="13"/>
    </row>
    <row r="462" spans="12:12" x14ac:dyDescent="0.3">
      <c r="L462" s="13"/>
    </row>
    <row r="463" spans="12:12" x14ac:dyDescent="0.3">
      <c r="L463" s="13"/>
    </row>
    <row r="464" spans="12:12" x14ac:dyDescent="0.3">
      <c r="L464" s="13"/>
    </row>
    <row r="465" spans="12:12" x14ac:dyDescent="0.3">
      <c r="L465" s="13"/>
    </row>
    <row r="466" spans="12:12" x14ac:dyDescent="0.3">
      <c r="L466" s="13"/>
    </row>
    <row r="467" spans="12:12" x14ac:dyDescent="0.3">
      <c r="L467" s="13"/>
    </row>
    <row r="468" spans="12:12" x14ac:dyDescent="0.3">
      <c r="L468" s="13"/>
    </row>
    <row r="469" spans="12:12" x14ac:dyDescent="0.3">
      <c r="L469" s="13"/>
    </row>
    <row r="470" spans="12:12" x14ac:dyDescent="0.3">
      <c r="L470" s="13"/>
    </row>
    <row r="471" spans="12:12" x14ac:dyDescent="0.3">
      <c r="L471" s="13"/>
    </row>
    <row r="472" spans="12:12" x14ac:dyDescent="0.3">
      <c r="L472" s="13"/>
    </row>
    <row r="473" spans="12:12" x14ac:dyDescent="0.3">
      <c r="L473" s="13"/>
    </row>
    <row r="474" spans="12:12" x14ac:dyDescent="0.3">
      <c r="L474" s="13"/>
    </row>
    <row r="475" spans="12:12" x14ac:dyDescent="0.3">
      <c r="L475" s="13"/>
    </row>
    <row r="476" spans="12:12" x14ac:dyDescent="0.3">
      <c r="L476" s="13"/>
    </row>
    <row r="477" spans="12:12" x14ac:dyDescent="0.3">
      <c r="L477" s="13"/>
    </row>
    <row r="478" spans="12:12" x14ac:dyDescent="0.3">
      <c r="L478" s="13"/>
    </row>
    <row r="479" spans="12:12" x14ac:dyDescent="0.3">
      <c r="L479" s="13"/>
    </row>
    <row r="480" spans="12:12" x14ac:dyDescent="0.3">
      <c r="L480" s="13"/>
    </row>
    <row r="481" spans="12:12" x14ac:dyDescent="0.3">
      <c r="L481" s="13"/>
    </row>
    <row r="482" spans="12:12" x14ac:dyDescent="0.3">
      <c r="L482" s="13"/>
    </row>
    <row r="483" spans="12:12" x14ac:dyDescent="0.3">
      <c r="L483" s="13"/>
    </row>
    <row r="484" spans="12:12" x14ac:dyDescent="0.3">
      <c r="L484" s="13"/>
    </row>
    <row r="485" spans="12:12" x14ac:dyDescent="0.3">
      <c r="L485" s="13"/>
    </row>
    <row r="486" spans="12:12" x14ac:dyDescent="0.3">
      <c r="L486" s="13"/>
    </row>
    <row r="487" spans="12:12" x14ac:dyDescent="0.3">
      <c r="L487" s="13"/>
    </row>
    <row r="488" spans="12:12" x14ac:dyDescent="0.3">
      <c r="L488" s="13"/>
    </row>
    <row r="489" spans="12:12" x14ac:dyDescent="0.3">
      <c r="L489" s="13"/>
    </row>
    <row r="490" spans="12:12" x14ac:dyDescent="0.3">
      <c r="L490" s="13"/>
    </row>
    <row r="491" spans="12:12" x14ac:dyDescent="0.3">
      <c r="L491" s="13"/>
    </row>
    <row r="492" spans="12:12" x14ac:dyDescent="0.3">
      <c r="L492" s="13"/>
    </row>
    <row r="493" spans="12:12" x14ac:dyDescent="0.3">
      <c r="L493" s="13"/>
    </row>
    <row r="494" spans="12:12" x14ac:dyDescent="0.3">
      <c r="L494" s="13"/>
    </row>
    <row r="495" spans="12:12" x14ac:dyDescent="0.3">
      <c r="L495" s="13"/>
    </row>
    <row r="496" spans="12:12" x14ac:dyDescent="0.3">
      <c r="L496" s="13"/>
    </row>
    <row r="497" spans="12:12" x14ac:dyDescent="0.3">
      <c r="L497" s="13"/>
    </row>
    <row r="498" spans="12:12" x14ac:dyDescent="0.3">
      <c r="L498" s="13"/>
    </row>
    <row r="499" spans="12:12" x14ac:dyDescent="0.3">
      <c r="L499" s="13"/>
    </row>
    <row r="500" spans="12:12" x14ac:dyDescent="0.3">
      <c r="L500" s="13"/>
    </row>
    <row r="501" spans="12:12" x14ac:dyDescent="0.3">
      <c r="L501" s="13"/>
    </row>
    <row r="502" spans="12:12" x14ac:dyDescent="0.3">
      <c r="L502" s="13"/>
    </row>
    <row r="503" spans="12:12" x14ac:dyDescent="0.3">
      <c r="L503" s="13"/>
    </row>
    <row r="504" spans="12:12" x14ac:dyDescent="0.3">
      <c r="L504" s="13"/>
    </row>
    <row r="505" spans="12:12" x14ac:dyDescent="0.3">
      <c r="L505" s="13"/>
    </row>
    <row r="506" spans="12:12" x14ac:dyDescent="0.3">
      <c r="L506" s="13"/>
    </row>
    <row r="507" spans="12:12" x14ac:dyDescent="0.3">
      <c r="L507" s="13"/>
    </row>
    <row r="508" spans="12:12" x14ac:dyDescent="0.3">
      <c r="L508" s="13"/>
    </row>
    <row r="509" spans="12:12" x14ac:dyDescent="0.3">
      <c r="L509" s="13"/>
    </row>
    <row r="510" spans="12:12" x14ac:dyDescent="0.3">
      <c r="L510" s="13"/>
    </row>
    <row r="511" spans="12:12" x14ac:dyDescent="0.3">
      <c r="L511" s="13"/>
    </row>
    <row r="512" spans="12:12" x14ac:dyDescent="0.3">
      <c r="L512" s="13"/>
    </row>
    <row r="513" spans="12:12" x14ac:dyDescent="0.3">
      <c r="L513" s="13"/>
    </row>
    <row r="514" spans="12:12" x14ac:dyDescent="0.3">
      <c r="L514" s="13"/>
    </row>
    <row r="515" spans="12:12" x14ac:dyDescent="0.3">
      <c r="L515" s="13"/>
    </row>
    <row r="516" spans="12:12" x14ac:dyDescent="0.3">
      <c r="L516" s="13"/>
    </row>
    <row r="517" spans="12:12" x14ac:dyDescent="0.3">
      <c r="L517" s="13"/>
    </row>
    <row r="518" spans="12:12" x14ac:dyDescent="0.3">
      <c r="L518" s="13"/>
    </row>
    <row r="519" spans="12:12" x14ac:dyDescent="0.3">
      <c r="L519" s="13"/>
    </row>
    <row r="520" spans="12:12" x14ac:dyDescent="0.3">
      <c r="L520" s="13"/>
    </row>
    <row r="521" spans="12:12" x14ac:dyDescent="0.3">
      <c r="L521" s="13"/>
    </row>
    <row r="522" spans="12:12" x14ac:dyDescent="0.3">
      <c r="L522" s="13"/>
    </row>
    <row r="523" spans="12:12" x14ac:dyDescent="0.3">
      <c r="L523" s="13"/>
    </row>
    <row r="524" spans="12:12" x14ac:dyDescent="0.3">
      <c r="L524" s="13"/>
    </row>
    <row r="525" spans="12:12" x14ac:dyDescent="0.3">
      <c r="L525" s="13"/>
    </row>
    <row r="526" spans="12:12" x14ac:dyDescent="0.3">
      <c r="L526" s="13"/>
    </row>
    <row r="527" spans="12:12" x14ac:dyDescent="0.3">
      <c r="L527" s="13"/>
    </row>
    <row r="528" spans="12:12" x14ac:dyDescent="0.3">
      <c r="L528" s="13"/>
    </row>
    <row r="529" spans="12:12" x14ac:dyDescent="0.3">
      <c r="L529" s="13"/>
    </row>
    <row r="530" spans="12:12" x14ac:dyDescent="0.3">
      <c r="L530" s="13"/>
    </row>
    <row r="531" spans="12:12" x14ac:dyDescent="0.3">
      <c r="L531" s="13"/>
    </row>
    <row r="532" spans="12:12" x14ac:dyDescent="0.3">
      <c r="L532" s="13"/>
    </row>
    <row r="533" spans="12:12" x14ac:dyDescent="0.3">
      <c r="L533" s="13"/>
    </row>
    <row r="534" spans="12:12" x14ac:dyDescent="0.3">
      <c r="L534" s="13"/>
    </row>
    <row r="535" spans="12:12" x14ac:dyDescent="0.3">
      <c r="L535" s="13"/>
    </row>
    <row r="536" spans="12:12" x14ac:dyDescent="0.3">
      <c r="L536" s="13"/>
    </row>
    <row r="537" spans="12:12" x14ac:dyDescent="0.3">
      <c r="L537" s="13"/>
    </row>
    <row r="538" spans="12:12" x14ac:dyDescent="0.3">
      <c r="L538" s="13"/>
    </row>
    <row r="539" spans="12:12" x14ac:dyDescent="0.3">
      <c r="L539" s="13"/>
    </row>
    <row r="540" spans="12:12" x14ac:dyDescent="0.3">
      <c r="L540" s="13"/>
    </row>
    <row r="541" spans="12:12" x14ac:dyDescent="0.3">
      <c r="L541" s="13"/>
    </row>
    <row r="542" spans="12:12" x14ac:dyDescent="0.3">
      <c r="L542" s="13"/>
    </row>
    <row r="543" spans="12:12" x14ac:dyDescent="0.3">
      <c r="L543" s="13"/>
    </row>
    <row r="544" spans="12:12" x14ac:dyDescent="0.3">
      <c r="L544" s="13"/>
    </row>
    <row r="545" spans="12:12" x14ac:dyDescent="0.3">
      <c r="L545" s="13"/>
    </row>
    <row r="546" spans="12:12" x14ac:dyDescent="0.3">
      <c r="L546" s="13"/>
    </row>
    <row r="547" spans="12:12" x14ac:dyDescent="0.3">
      <c r="L547" s="13"/>
    </row>
    <row r="548" spans="12:12" x14ac:dyDescent="0.3">
      <c r="L548" s="13"/>
    </row>
    <row r="549" spans="12:12" x14ac:dyDescent="0.3">
      <c r="L549" s="13"/>
    </row>
    <row r="550" spans="12:12" x14ac:dyDescent="0.3">
      <c r="L550" s="13"/>
    </row>
    <row r="551" spans="12:12" x14ac:dyDescent="0.3">
      <c r="L551" s="13"/>
    </row>
    <row r="552" spans="12:12" x14ac:dyDescent="0.3">
      <c r="L552" s="13"/>
    </row>
    <row r="553" spans="12:12" x14ac:dyDescent="0.3">
      <c r="L553" s="13"/>
    </row>
    <row r="554" spans="12:12" x14ac:dyDescent="0.3">
      <c r="L554" s="13"/>
    </row>
    <row r="555" spans="12:12" x14ac:dyDescent="0.3">
      <c r="L555" s="13"/>
    </row>
    <row r="556" spans="12:12" x14ac:dyDescent="0.3">
      <c r="L556" s="13"/>
    </row>
    <row r="557" spans="12:12" x14ac:dyDescent="0.3">
      <c r="L557" s="13"/>
    </row>
    <row r="558" spans="12:12" x14ac:dyDescent="0.3">
      <c r="L558" s="13"/>
    </row>
    <row r="559" spans="12:12" x14ac:dyDescent="0.3">
      <c r="L559" s="13"/>
    </row>
    <row r="560" spans="12:12" x14ac:dyDescent="0.3">
      <c r="L560" s="13"/>
    </row>
    <row r="561" spans="12:12" x14ac:dyDescent="0.3">
      <c r="L561" s="13"/>
    </row>
    <row r="562" spans="12:12" x14ac:dyDescent="0.3">
      <c r="L562" s="13"/>
    </row>
    <row r="563" spans="12:12" x14ac:dyDescent="0.3">
      <c r="L563" s="13"/>
    </row>
    <row r="564" spans="12:12" x14ac:dyDescent="0.3">
      <c r="L564" s="13"/>
    </row>
    <row r="565" spans="12:12" x14ac:dyDescent="0.3">
      <c r="L565" s="13"/>
    </row>
    <row r="566" spans="12:12" x14ac:dyDescent="0.3">
      <c r="L566" s="13"/>
    </row>
    <row r="567" spans="12:12" x14ac:dyDescent="0.3">
      <c r="L567" s="13"/>
    </row>
    <row r="568" spans="12:12" x14ac:dyDescent="0.3">
      <c r="L568" s="13"/>
    </row>
    <row r="569" spans="12:12" x14ac:dyDescent="0.3">
      <c r="L569" s="13"/>
    </row>
    <row r="570" spans="12:12" x14ac:dyDescent="0.3">
      <c r="L570" s="13"/>
    </row>
    <row r="571" spans="12:12" x14ac:dyDescent="0.3">
      <c r="L571" s="13"/>
    </row>
    <row r="572" spans="12:12" x14ac:dyDescent="0.3">
      <c r="L572" s="13"/>
    </row>
    <row r="573" spans="12:12" x14ac:dyDescent="0.3">
      <c r="L573" s="13"/>
    </row>
    <row r="574" spans="12:12" x14ac:dyDescent="0.3">
      <c r="L574" s="13"/>
    </row>
    <row r="575" spans="12:12" x14ac:dyDescent="0.3">
      <c r="L575" s="13"/>
    </row>
    <row r="576" spans="12:12" x14ac:dyDescent="0.3">
      <c r="L576" s="13"/>
    </row>
    <row r="577" spans="12:12" x14ac:dyDescent="0.3">
      <c r="L577" s="13"/>
    </row>
    <row r="578" spans="12:12" x14ac:dyDescent="0.3">
      <c r="L578" s="13"/>
    </row>
    <row r="579" spans="12:12" x14ac:dyDescent="0.3">
      <c r="L579" s="13"/>
    </row>
    <row r="580" spans="12:12" x14ac:dyDescent="0.3">
      <c r="L580" s="13"/>
    </row>
    <row r="581" spans="12:12" x14ac:dyDescent="0.3">
      <c r="L581" s="13"/>
    </row>
    <row r="582" spans="12:12" x14ac:dyDescent="0.3">
      <c r="L582" s="13"/>
    </row>
    <row r="583" spans="12:12" x14ac:dyDescent="0.3">
      <c r="L583" s="13"/>
    </row>
    <row r="584" spans="12:12" x14ac:dyDescent="0.3">
      <c r="L584" s="13"/>
    </row>
    <row r="585" spans="12:12" x14ac:dyDescent="0.3">
      <c r="L585" s="13"/>
    </row>
    <row r="586" spans="12:12" x14ac:dyDescent="0.3">
      <c r="L586" s="13"/>
    </row>
    <row r="587" spans="12:12" x14ac:dyDescent="0.3">
      <c r="L587" s="13"/>
    </row>
    <row r="588" spans="12:12" x14ac:dyDescent="0.3">
      <c r="L588" s="13"/>
    </row>
    <row r="589" spans="12:12" x14ac:dyDescent="0.3">
      <c r="L589" s="13"/>
    </row>
    <row r="590" spans="12:12" x14ac:dyDescent="0.3">
      <c r="L590" s="13"/>
    </row>
    <row r="591" spans="12:12" x14ac:dyDescent="0.3">
      <c r="L591" s="13"/>
    </row>
    <row r="592" spans="12:12" x14ac:dyDescent="0.3">
      <c r="L592" s="13"/>
    </row>
    <row r="593" spans="12:12" x14ac:dyDescent="0.3">
      <c r="L593" s="13"/>
    </row>
    <row r="594" spans="12:12" x14ac:dyDescent="0.3">
      <c r="L594" s="13"/>
    </row>
    <row r="595" spans="12:12" x14ac:dyDescent="0.3">
      <c r="L595" s="13"/>
    </row>
    <row r="596" spans="12:12" x14ac:dyDescent="0.3">
      <c r="L596" s="13"/>
    </row>
    <row r="597" spans="12:12" x14ac:dyDescent="0.3">
      <c r="L597" s="13"/>
    </row>
    <row r="598" spans="12:12" x14ac:dyDescent="0.3">
      <c r="L598" s="13"/>
    </row>
    <row r="599" spans="12:12" x14ac:dyDescent="0.3">
      <c r="L599" s="13"/>
    </row>
    <row r="600" spans="12:12" x14ac:dyDescent="0.3">
      <c r="L600" s="13"/>
    </row>
    <row r="601" spans="12:12" x14ac:dyDescent="0.3">
      <c r="L601" s="13"/>
    </row>
    <row r="602" spans="12:12" x14ac:dyDescent="0.3">
      <c r="L602" s="13"/>
    </row>
    <row r="603" spans="12:12" x14ac:dyDescent="0.3">
      <c r="L603" s="13"/>
    </row>
    <row r="604" spans="12:12" x14ac:dyDescent="0.3">
      <c r="L604" s="13"/>
    </row>
    <row r="605" spans="12:12" x14ac:dyDescent="0.3">
      <c r="L605" s="13"/>
    </row>
    <row r="606" spans="12:12" x14ac:dyDescent="0.3">
      <c r="L606" s="13"/>
    </row>
    <row r="607" spans="12:12" x14ac:dyDescent="0.3">
      <c r="L607" s="13"/>
    </row>
    <row r="608" spans="12:12" x14ac:dyDescent="0.3">
      <c r="L608" s="13"/>
    </row>
    <row r="609" spans="12:12" x14ac:dyDescent="0.3">
      <c r="L609" s="13"/>
    </row>
    <row r="610" spans="12:12" x14ac:dyDescent="0.3">
      <c r="L610" s="13"/>
    </row>
    <row r="611" spans="12:12" x14ac:dyDescent="0.3">
      <c r="L611" s="13"/>
    </row>
    <row r="612" spans="12:12" x14ac:dyDescent="0.3">
      <c r="L612" s="13"/>
    </row>
    <row r="613" spans="12:12" x14ac:dyDescent="0.3">
      <c r="L613" s="13"/>
    </row>
    <row r="614" spans="12:12" x14ac:dyDescent="0.3">
      <c r="L614" s="13"/>
    </row>
    <row r="615" spans="12:12" x14ac:dyDescent="0.3">
      <c r="L615" s="13"/>
    </row>
    <row r="616" spans="12:12" x14ac:dyDescent="0.3">
      <c r="L616" s="13"/>
    </row>
    <row r="617" spans="12:12" x14ac:dyDescent="0.3">
      <c r="L617" s="13"/>
    </row>
    <row r="618" spans="12:12" x14ac:dyDescent="0.3">
      <c r="L618" s="13"/>
    </row>
    <row r="619" spans="12:12" x14ac:dyDescent="0.3">
      <c r="L619" s="13"/>
    </row>
    <row r="620" spans="12:12" x14ac:dyDescent="0.3">
      <c r="L620" s="13"/>
    </row>
    <row r="621" spans="12:12" x14ac:dyDescent="0.3">
      <c r="L621" s="13"/>
    </row>
    <row r="622" spans="12:12" x14ac:dyDescent="0.3">
      <c r="L622" s="13"/>
    </row>
    <row r="623" spans="12:12" x14ac:dyDescent="0.3">
      <c r="L623" s="13"/>
    </row>
    <row r="624" spans="12:12" x14ac:dyDescent="0.3">
      <c r="L624" s="13"/>
    </row>
    <row r="625" spans="12:12" x14ac:dyDescent="0.3">
      <c r="L625" s="13"/>
    </row>
    <row r="626" spans="12:12" x14ac:dyDescent="0.3">
      <c r="L626" s="13"/>
    </row>
    <row r="627" spans="12:12" x14ac:dyDescent="0.3">
      <c r="L627" s="13"/>
    </row>
    <row r="628" spans="12:12" x14ac:dyDescent="0.3">
      <c r="L628" s="13"/>
    </row>
    <row r="629" spans="12:12" x14ac:dyDescent="0.3">
      <c r="L629" s="13"/>
    </row>
    <row r="630" spans="12:12" x14ac:dyDescent="0.3">
      <c r="L630" s="13"/>
    </row>
    <row r="631" spans="12:12" x14ac:dyDescent="0.3">
      <c r="L631" s="13"/>
    </row>
    <row r="632" spans="12:12" x14ac:dyDescent="0.3">
      <c r="L632" s="13"/>
    </row>
    <row r="633" spans="12:12" x14ac:dyDescent="0.3">
      <c r="L633" s="13"/>
    </row>
    <row r="634" spans="12:12" x14ac:dyDescent="0.3">
      <c r="L634" s="13"/>
    </row>
    <row r="635" spans="12:12" x14ac:dyDescent="0.3">
      <c r="L635" s="13"/>
    </row>
    <row r="636" spans="12:12" x14ac:dyDescent="0.3">
      <c r="L636" s="13"/>
    </row>
    <row r="637" spans="12:12" x14ac:dyDescent="0.3">
      <c r="L637" s="13"/>
    </row>
    <row r="638" spans="12:12" x14ac:dyDescent="0.3">
      <c r="L638" s="13"/>
    </row>
    <row r="639" spans="12:12" x14ac:dyDescent="0.3">
      <c r="L639" s="13"/>
    </row>
    <row r="640" spans="12:12" x14ac:dyDescent="0.3">
      <c r="L640" s="13"/>
    </row>
    <row r="641" spans="12:12" x14ac:dyDescent="0.3">
      <c r="L641" s="13"/>
    </row>
    <row r="642" spans="12:12" x14ac:dyDescent="0.3">
      <c r="L642" s="13"/>
    </row>
    <row r="643" spans="12:12" x14ac:dyDescent="0.3">
      <c r="L643" s="13"/>
    </row>
    <row r="644" spans="12:12" x14ac:dyDescent="0.3">
      <c r="L644" s="13"/>
    </row>
    <row r="645" spans="12:12" x14ac:dyDescent="0.3">
      <c r="L645" s="13"/>
    </row>
    <row r="646" spans="12:12" x14ac:dyDescent="0.3">
      <c r="L646" s="13"/>
    </row>
    <row r="647" spans="12:12" x14ac:dyDescent="0.3">
      <c r="L647" s="13"/>
    </row>
    <row r="648" spans="12:12" x14ac:dyDescent="0.3">
      <c r="L648" s="13"/>
    </row>
    <row r="649" spans="12:12" x14ac:dyDescent="0.3">
      <c r="L649" s="13"/>
    </row>
    <row r="650" spans="12:12" x14ac:dyDescent="0.3">
      <c r="L650" s="13"/>
    </row>
    <row r="651" spans="12:12" x14ac:dyDescent="0.3">
      <c r="L651" s="13"/>
    </row>
    <row r="652" spans="12:12" x14ac:dyDescent="0.3">
      <c r="L652" s="13"/>
    </row>
    <row r="653" spans="12:12" x14ac:dyDescent="0.3">
      <c r="L653" s="13"/>
    </row>
    <row r="654" spans="12:12" x14ac:dyDescent="0.3">
      <c r="L654" s="13"/>
    </row>
    <row r="655" spans="12:12" x14ac:dyDescent="0.3">
      <c r="L655" s="13"/>
    </row>
    <row r="656" spans="12:12" x14ac:dyDescent="0.3">
      <c r="L656" s="13"/>
    </row>
    <row r="657" spans="12:12" x14ac:dyDescent="0.3">
      <c r="L657" s="13"/>
    </row>
    <row r="658" spans="12:12" x14ac:dyDescent="0.3">
      <c r="L658" s="13"/>
    </row>
    <row r="659" spans="12:12" x14ac:dyDescent="0.3">
      <c r="L659" s="13"/>
    </row>
    <row r="660" spans="12:12" x14ac:dyDescent="0.3">
      <c r="L660" s="13"/>
    </row>
    <row r="661" spans="12:12" x14ac:dyDescent="0.3">
      <c r="L661" s="13"/>
    </row>
    <row r="662" spans="12:12" x14ac:dyDescent="0.3">
      <c r="L662" s="13"/>
    </row>
    <row r="663" spans="12:12" x14ac:dyDescent="0.3">
      <c r="L663" s="13"/>
    </row>
    <row r="664" spans="12:12" x14ac:dyDescent="0.3">
      <c r="L664" s="13"/>
    </row>
    <row r="665" spans="12:12" x14ac:dyDescent="0.3">
      <c r="L665" s="13"/>
    </row>
    <row r="666" spans="12:12" x14ac:dyDescent="0.3">
      <c r="L666" s="13"/>
    </row>
    <row r="667" spans="12:12" x14ac:dyDescent="0.3">
      <c r="L667" s="13"/>
    </row>
    <row r="668" spans="12:12" x14ac:dyDescent="0.3">
      <c r="L668" s="13"/>
    </row>
    <row r="669" spans="12:12" x14ac:dyDescent="0.3">
      <c r="L669" s="13"/>
    </row>
    <row r="670" spans="12:12" x14ac:dyDescent="0.3">
      <c r="L670" s="13"/>
    </row>
    <row r="671" spans="12:12" x14ac:dyDescent="0.3">
      <c r="L671" s="13"/>
    </row>
    <row r="672" spans="12:12" x14ac:dyDescent="0.3">
      <c r="L672" s="13"/>
    </row>
    <row r="673" spans="12:12" x14ac:dyDescent="0.3">
      <c r="L673" s="13"/>
    </row>
    <row r="674" spans="12:12" x14ac:dyDescent="0.3">
      <c r="L674" s="13"/>
    </row>
    <row r="675" spans="12:12" x14ac:dyDescent="0.3">
      <c r="L675" s="13"/>
    </row>
    <row r="676" spans="12:12" x14ac:dyDescent="0.3">
      <c r="L676" s="13"/>
    </row>
    <row r="677" spans="12:12" x14ac:dyDescent="0.3">
      <c r="L677" s="13"/>
    </row>
    <row r="678" spans="12:12" x14ac:dyDescent="0.3">
      <c r="L678" s="13"/>
    </row>
    <row r="679" spans="12:12" x14ac:dyDescent="0.3">
      <c r="L679" s="13"/>
    </row>
    <row r="680" spans="12:12" x14ac:dyDescent="0.3">
      <c r="L680" s="13"/>
    </row>
    <row r="681" spans="12:12" x14ac:dyDescent="0.3">
      <c r="L681" s="13"/>
    </row>
    <row r="682" spans="12:12" x14ac:dyDescent="0.3">
      <c r="L682" s="13"/>
    </row>
    <row r="683" spans="12:12" x14ac:dyDescent="0.3">
      <c r="L683" s="13"/>
    </row>
    <row r="684" spans="12:12" x14ac:dyDescent="0.3">
      <c r="L684" s="13"/>
    </row>
    <row r="685" spans="12:12" x14ac:dyDescent="0.3">
      <c r="L685" s="13"/>
    </row>
    <row r="686" spans="12:12" x14ac:dyDescent="0.3">
      <c r="L686" s="13"/>
    </row>
    <row r="687" spans="12:12" x14ac:dyDescent="0.3">
      <c r="L687" s="13"/>
    </row>
    <row r="688" spans="12:12" x14ac:dyDescent="0.3">
      <c r="L688" s="13"/>
    </row>
    <row r="689" spans="12:12" x14ac:dyDescent="0.3">
      <c r="L689" s="13"/>
    </row>
    <row r="690" spans="12:12" x14ac:dyDescent="0.3">
      <c r="L690" s="13"/>
    </row>
    <row r="691" spans="12:12" x14ac:dyDescent="0.3">
      <c r="L691" s="13"/>
    </row>
    <row r="692" spans="12:12" x14ac:dyDescent="0.3">
      <c r="L692" s="13"/>
    </row>
    <row r="693" spans="12:12" x14ac:dyDescent="0.3">
      <c r="L693" s="13"/>
    </row>
    <row r="694" spans="12:12" x14ac:dyDescent="0.3">
      <c r="L694" s="13"/>
    </row>
    <row r="695" spans="12:12" x14ac:dyDescent="0.3">
      <c r="L695" s="13"/>
    </row>
    <row r="696" spans="12:12" x14ac:dyDescent="0.3">
      <c r="L696" s="13"/>
    </row>
    <row r="697" spans="12:12" x14ac:dyDescent="0.3">
      <c r="L697" s="13"/>
    </row>
    <row r="698" spans="12:12" x14ac:dyDescent="0.3">
      <c r="L698" s="13"/>
    </row>
    <row r="699" spans="12:12" x14ac:dyDescent="0.3">
      <c r="L699" s="13"/>
    </row>
    <row r="700" spans="12:12" x14ac:dyDescent="0.3">
      <c r="L700" s="13"/>
    </row>
    <row r="701" spans="12:12" x14ac:dyDescent="0.3">
      <c r="L701" s="13"/>
    </row>
    <row r="702" spans="12:12" x14ac:dyDescent="0.3">
      <c r="L702" s="13"/>
    </row>
    <row r="703" spans="12:12" x14ac:dyDescent="0.3">
      <c r="L703" s="13"/>
    </row>
    <row r="704" spans="12:12" x14ac:dyDescent="0.3">
      <c r="L704" s="13"/>
    </row>
    <row r="705" spans="12:12" x14ac:dyDescent="0.3">
      <c r="L705" s="13"/>
    </row>
    <row r="706" spans="12:12" x14ac:dyDescent="0.3">
      <c r="L706" s="13"/>
    </row>
    <row r="707" spans="12:12" x14ac:dyDescent="0.3">
      <c r="L707" s="13"/>
    </row>
    <row r="708" spans="12:12" x14ac:dyDescent="0.3">
      <c r="L708" s="13"/>
    </row>
    <row r="709" spans="12:12" x14ac:dyDescent="0.3">
      <c r="L709" s="13"/>
    </row>
    <row r="710" spans="12:12" x14ac:dyDescent="0.3">
      <c r="L710" s="13"/>
    </row>
    <row r="711" spans="12:12" x14ac:dyDescent="0.3">
      <c r="L711" s="13"/>
    </row>
    <row r="712" spans="12:12" x14ac:dyDescent="0.3">
      <c r="L712" s="13"/>
    </row>
    <row r="713" spans="12:12" x14ac:dyDescent="0.3">
      <c r="L713" s="13"/>
    </row>
    <row r="714" spans="12:12" x14ac:dyDescent="0.3">
      <c r="L714" s="13"/>
    </row>
    <row r="715" spans="12:12" x14ac:dyDescent="0.3">
      <c r="L715" s="13"/>
    </row>
    <row r="716" spans="12:12" x14ac:dyDescent="0.3">
      <c r="L716" s="13"/>
    </row>
    <row r="717" spans="12:12" x14ac:dyDescent="0.3">
      <c r="L717" s="13"/>
    </row>
    <row r="718" spans="12:12" x14ac:dyDescent="0.3">
      <c r="L718" s="13"/>
    </row>
    <row r="719" spans="12:12" x14ac:dyDescent="0.3">
      <c r="L719" s="13"/>
    </row>
    <row r="720" spans="12:12" x14ac:dyDescent="0.3">
      <c r="L720" s="13"/>
    </row>
    <row r="721" spans="12:12" x14ac:dyDescent="0.3">
      <c r="L721" s="13"/>
    </row>
    <row r="722" spans="12:12" x14ac:dyDescent="0.3">
      <c r="L722" s="13"/>
    </row>
    <row r="723" spans="12:12" x14ac:dyDescent="0.3">
      <c r="L723" s="13"/>
    </row>
    <row r="724" spans="12:12" x14ac:dyDescent="0.3">
      <c r="L724" s="13"/>
    </row>
    <row r="725" spans="12:12" x14ac:dyDescent="0.3">
      <c r="L725" s="13"/>
    </row>
    <row r="726" spans="12:12" x14ac:dyDescent="0.3">
      <c r="L726" s="13"/>
    </row>
    <row r="727" spans="12:12" x14ac:dyDescent="0.3">
      <c r="L727" s="13"/>
    </row>
    <row r="728" spans="12:12" x14ac:dyDescent="0.3">
      <c r="L728" s="13"/>
    </row>
    <row r="729" spans="12:12" x14ac:dyDescent="0.3">
      <c r="L729" s="13"/>
    </row>
    <row r="730" spans="12:12" x14ac:dyDescent="0.3">
      <c r="L730" s="13"/>
    </row>
    <row r="731" spans="12:12" x14ac:dyDescent="0.3">
      <c r="L731" s="13"/>
    </row>
    <row r="732" spans="12:12" x14ac:dyDescent="0.3">
      <c r="L732" s="13"/>
    </row>
    <row r="733" spans="12:12" x14ac:dyDescent="0.3">
      <c r="L733" s="13"/>
    </row>
    <row r="734" spans="12:12" x14ac:dyDescent="0.3">
      <c r="L734" s="13"/>
    </row>
    <row r="735" spans="12:12" x14ac:dyDescent="0.3">
      <c r="L735" s="13"/>
    </row>
    <row r="736" spans="12:12" x14ac:dyDescent="0.3">
      <c r="L736" s="13"/>
    </row>
    <row r="737" spans="12:12" x14ac:dyDescent="0.3">
      <c r="L737" s="13"/>
    </row>
    <row r="738" spans="12:12" x14ac:dyDescent="0.3">
      <c r="L738" s="13"/>
    </row>
    <row r="739" spans="12:12" x14ac:dyDescent="0.3">
      <c r="L739" s="13"/>
    </row>
    <row r="740" spans="12:12" x14ac:dyDescent="0.3">
      <c r="L740" s="13"/>
    </row>
    <row r="741" spans="12:12" x14ac:dyDescent="0.3">
      <c r="L741" s="13"/>
    </row>
    <row r="742" spans="12:12" x14ac:dyDescent="0.3">
      <c r="L742" s="13"/>
    </row>
    <row r="743" spans="12:12" x14ac:dyDescent="0.3">
      <c r="L743" s="13"/>
    </row>
    <row r="744" spans="12:12" x14ac:dyDescent="0.3">
      <c r="L744" s="13"/>
    </row>
    <row r="745" spans="12:12" x14ac:dyDescent="0.3">
      <c r="L745" s="13"/>
    </row>
    <row r="746" spans="12:12" x14ac:dyDescent="0.3">
      <c r="L746" s="13"/>
    </row>
    <row r="747" spans="12:12" x14ac:dyDescent="0.3">
      <c r="L747" s="13"/>
    </row>
    <row r="748" spans="12:12" x14ac:dyDescent="0.3">
      <c r="L748" s="13"/>
    </row>
    <row r="749" spans="12:12" x14ac:dyDescent="0.3">
      <c r="L749" s="13"/>
    </row>
    <row r="750" spans="12:12" x14ac:dyDescent="0.3">
      <c r="L750" s="13"/>
    </row>
    <row r="751" spans="12:12" x14ac:dyDescent="0.3">
      <c r="L751" s="13"/>
    </row>
    <row r="752" spans="12:12" x14ac:dyDescent="0.3">
      <c r="L752" s="13"/>
    </row>
    <row r="753" spans="12:12" x14ac:dyDescent="0.3">
      <c r="L753" s="13"/>
    </row>
    <row r="754" spans="12:12" x14ac:dyDescent="0.3">
      <c r="L754" s="13"/>
    </row>
    <row r="755" spans="12:12" x14ac:dyDescent="0.3">
      <c r="L755" s="13"/>
    </row>
    <row r="756" spans="12:12" x14ac:dyDescent="0.3">
      <c r="L756" s="13"/>
    </row>
    <row r="757" spans="12:12" x14ac:dyDescent="0.3">
      <c r="L757" s="13"/>
    </row>
    <row r="758" spans="12:12" x14ac:dyDescent="0.3">
      <c r="L758" s="13"/>
    </row>
    <row r="759" spans="12:12" x14ac:dyDescent="0.3">
      <c r="L759" s="13"/>
    </row>
    <row r="760" spans="12:12" x14ac:dyDescent="0.3">
      <c r="L760" s="13"/>
    </row>
    <row r="761" spans="12:12" x14ac:dyDescent="0.3">
      <c r="L761" s="13"/>
    </row>
    <row r="762" spans="12:12" x14ac:dyDescent="0.3">
      <c r="L762" s="13"/>
    </row>
    <row r="763" spans="12:12" x14ac:dyDescent="0.3">
      <c r="L763" s="13"/>
    </row>
    <row r="764" spans="12:12" x14ac:dyDescent="0.3">
      <c r="L764" s="13"/>
    </row>
    <row r="765" spans="12:12" x14ac:dyDescent="0.3">
      <c r="L765" s="13"/>
    </row>
    <row r="766" spans="12:12" x14ac:dyDescent="0.3">
      <c r="L766" s="13"/>
    </row>
    <row r="767" spans="12:12" x14ac:dyDescent="0.3">
      <c r="L767" s="13"/>
    </row>
    <row r="768" spans="12:12" x14ac:dyDescent="0.3">
      <c r="L768" s="13"/>
    </row>
    <row r="769" spans="12:12" x14ac:dyDescent="0.3">
      <c r="L769" s="13"/>
    </row>
    <row r="770" spans="12:12" x14ac:dyDescent="0.3">
      <c r="L770" s="13"/>
    </row>
    <row r="771" spans="12:12" x14ac:dyDescent="0.3">
      <c r="L771" s="13"/>
    </row>
    <row r="772" spans="12:12" x14ac:dyDescent="0.3">
      <c r="L772" s="13"/>
    </row>
    <row r="773" spans="12:12" x14ac:dyDescent="0.3">
      <c r="L773" s="13"/>
    </row>
    <row r="774" spans="12:12" x14ac:dyDescent="0.3">
      <c r="L774" s="13"/>
    </row>
    <row r="775" spans="12:12" x14ac:dyDescent="0.3">
      <c r="L775" s="13"/>
    </row>
    <row r="776" spans="12:12" x14ac:dyDescent="0.3">
      <c r="L776" s="13"/>
    </row>
    <row r="777" spans="12:12" x14ac:dyDescent="0.3">
      <c r="L777" s="13"/>
    </row>
    <row r="778" spans="12:12" x14ac:dyDescent="0.3">
      <c r="L778" s="13"/>
    </row>
    <row r="779" spans="12:12" x14ac:dyDescent="0.3">
      <c r="L779" s="13"/>
    </row>
    <row r="780" spans="12:12" x14ac:dyDescent="0.3">
      <c r="L780" s="13"/>
    </row>
    <row r="781" spans="12:12" x14ac:dyDescent="0.3">
      <c r="L781" s="13"/>
    </row>
    <row r="782" spans="12:12" x14ac:dyDescent="0.3">
      <c r="L782" s="13"/>
    </row>
    <row r="783" spans="12:12" x14ac:dyDescent="0.3">
      <c r="L783" s="13"/>
    </row>
    <row r="784" spans="12:12" x14ac:dyDescent="0.3">
      <c r="L784" s="13"/>
    </row>
    <row r="785" spans="12:12" x14ac:dyDescent="0.3">
      <c r="L785" s="13"/>
    </row>
    <row r="786" spans="12:12" x14ac:dyDescent="0.3">
      <c r="L786" s="13"/>
    </row>
    <row r="787" spans="12:12" x14ac:dyDescent="0.3">
      <c r="L787" s="13"/>
    </row>
    <row r="788" spans="12:12" x14ac:dyDescent="0.3">
      <c r="L788" s="13"/>
    </row>
    <row r="789" spans="12:12" x14ac:dyDescent="0.3">
      <c r="L789" s="13"/>
    </row>
    <row r="790" spans="12:12" x14ac:dyDescent="0.3">
      <c r="L790" s="13"/>
    </row>
    <row r="791" spans="12:12" x14ac:dyDescent="0.3">
      <c r="L791" s="13"/>
    </row>
    <row r="792" spans="12:12" x14ac:dyDescent="0.3">
      <c r="L792" s="13"/>
    </row>
    <row r="793" spans="12:12" x14ac:dyDescent="0.3">
      <c r="L793" s="13"/>
    </row>
    <row r="794" spans="12:12" x14ac:dyDescent="0.3">
      <c r="L794" s="13"/>
    </row>
    <row r="795" spans="12:12" x14ac:dyDescent="0.3">
      <c r="L795" s="13"/>
    </row>
    <row r="796" spans="12:12" x14ac:dyDescent="0.3">
      <c r="L796" s="13"/>
    </row>
    <row r="797" spans="12:12" x14ac:dyDescent="0.3">
      <c r="L797" s="13"/>
    </row>
    <row r="798" spans="12:12" x14ac:dyDescent="0.3">
      <c r="L798" s="13"/>
    </row>
    <row r="799" spans="12:12" x14ac:dyDescent="0.3">
      <c r="L799" s="13"/>
    </row>
    <row r="800" spans="12:12" x14ac:dyDescent="0.3">
      <c r="L800" s="13"/>
    </row>
    <row r="801" spans="12:12" x14ac:dyDescent="0.3">
      <c r="L801" s="13"/>
    </row>
    <row r="802" spans="12:12" x14ac:dyDescent="0.3">
      <c r="L802" s="13"/>
    </row>
    <row r="803" spans="12:12" x14ac:dyDescent="0.3">
      <c r="L803" s="13"/>
    </row>
    <row r="804" spans="12:12" x14ac:dyDescent="0.3">
      <c r="L804" s="13"/>
    </row>
    <row r="805" spans="12:12" x14ac:dyDescent="0.3">
      <c r="L805" s="13"/>
    </row>
    <row r="806" spans="12:12" x14ac:dyDescent="0.3">
      <c r="L806" s="13"/>
    </row>
    <row r="807" spans="12:12" x14ac:dyDescent="0.3">
      <c r="L807" s="13"/>
    </row>
    <row r="808" spans="12:12" x14ac:dyDescent="0.3">
      <c r="L808" s="13"/>
    </row>
    <row r="809" spans="12:12" x14ac:dyDescent="0.3">
      <c r="L809" s="13"/>
    </row>
    <row r="810" spans="12:12" x14ac:dyDescent="0.3">
      <c r="L810" s="13"/>
    </row>
    <row r="811" spans="12:12" x14ac:dyDescent="0.3">
      <c r="L811" s="13"/>
    </row>
    <row r="812" spans="12:12" x14ac:dyDescent="0.3">
      <c r="L812" s="13"/>
    </row>
    <row r="813" spans="12:12" x14ac:dyDescent="0.3">
      <c r="L813" s="13"/>
    </row>
    <row r="814" spans="12:12" x14ac:dyDescent="0.3">
      <c r="L814" s="13"/>
    </row>
    <row r="815" spans="12:12" x14ac:dyDescent="0.3">
      <c r="L815" s="13"/>
    </row>
    <row r="816" spans="12:12" x14ac:dyDescent="0.3">
      <c r="L816" s="13"/>
    </row>
    <row r="817" spans="12:12" x14ac:dyDescent="0.3">
      <c r="L817" s="13"/>
    </row>
    <row r="818" spans="12:12" x14ac:dyDescent="0.3">
      <c r="L818" s="13"/>
    </row>
    <row r="819" spans="12:12" x14ac:dyDescent="0.3">
      <c r="L819" s="13"/>
    </row>
    <row r="820" spans="12:12" x14ac:dyDescent="0.3">
      <c r="L820" s="13"/>
    </row>
    <row r="821" spans="12:12" x14ac:dyDescent="0.3">
      <c r="L821" s="13"/>
    </row>
    <row r="822" spans="12:12" x14ac:dyDescent="0.3">
      <c r="L822" s="13"/>
    </row>
    <row r="823" spans="12:12" x14ac:dyDescent="0.3">
      <c r="L823" s="13"/>
    </row>
    <row r="824" spans="12:12" x14ac:dyDescent="0.3">
      <c r="L824" s="13"/>
    </row>
    <row r="825" spans="12:12" x14ac:dyDescent="0.3">
      <c r="L825" s="13"/>
    </row>
    <row r="826" spans="12:12" x14ac:dyDescent="0.3">
      <c r="L826" s="13"/>
    </row>
    <row r="827" spans="12:12" x14ac:dyDescent="0.3">
      <c r="L827" s="13"/>
    </row>
    <row r="828" spans="12:12" x14ac:dyDescent="0.3">
      <c r="L828" s="13"/>
    </row>
    <row r="829" spans="12:12" x14ac:dyDescent="0.3">
      <c r="L829" s="13"/>
    </row>
    <row r="830" spans="12:12" x14ac:dyDescent="0.3">
      <c r="L830" s="13"/>
    </row>
    <row r="831" spans="12:12" x14ac:dyDescent="0.3">
      <c r="L831" s="13"/>
    </row>
    <row r="832" spans="12:12" x14ac:dyDescent="0.3">
      <c r="L832" s="13"/>
    </row>
    <row r="833" spans="12:12" x14ac:dyDescent="0.3">
      <c r="L833" s="13"/>
    </row>
    <row r="834" spans="12:12" x14ac:dyDescent="0.3">
      <c r="L834" s="13"/>
    </row>
    <row r="835" spans="12:12" x14ac:dyDescent="0.3">
      <c r="L835" s="13"/>
    </row>
    <row r="836" spans="12:12" x14ac:dyDescent="0.3">
      <c r="L836" s="13"/>
    </row>
    <row r="837" spans="12:12" x14ac:dyDescent="0.3">
      <c r="L837" s="13"/>
    </row>
    <row r="838" spans="12:12" x14ac:dyDescent="0.3">
      <c r="L838" s="13"/>
    </row>
    <row r="839" spans="12:12" x14ac:dyDescent="0.3">
      <c r="L839" s="13"/>
    </row>
    <row r="840" spans="12:12" x14ac:dyDescent="0.3">
      <c r="L840" s="13"/>
    </row>
    <row r="841" spans="12:12" x14ac:dyDescent="0.3">
      <c r="L841" s="13"/>
    </row>
    <row r="842" spans="12:12" x14ac:dyDescent="0.3">
      <c r="L842" s="13"/>
    </row>
    <row r="843" spans="12:12" x14ac:dyDescent="0.3">
      <c r="L843" s="13"/>
    </row>
    <row r="844" spans="12:12" x14ac:dyDescent="0.3">
      <c r="L844" s="13"/>
    </row>
    <row r="845" spans="12:12" x14ac:dyDescent="0.3">
      <c r="L845" s="13"/>
    </row>
    <row r="846" spans="12:12" x14ac:dyDescent="0.3">
      <c r="L846" s="13"/>
    </row>
    <row r="847" spans="12:12" x14ac:dyDescent="0.3">
      <c r="L847" s="13"/>
    </row>
    <row r="848" spans="12:12" x14ac:dyDescent="0.3">
      <c r="L848" s="13"/>
    </row>
    <row r="849" spans="12:12" x14ac:dyDescent="0.3">
      <c r="L849" s="13"/>
    </row>
    <row r="850" spans="12:12" x14ac:dyDescent="0.3">
      <c r="L850" s="13"/>
    </row>
    <row r="851" spans="12:12" x14ac:dyDescent="0.3">
      <c r="L851" s="13"/>
    </row>
    <row r="852" spans="12:12" x14ac:dyDescent="0.3">
      <c r="L852" s="13"/>
    </row>
    <row r="853" spans="12:12" x14ac:dyDescent="0.3">
      <c r="L853" s="13"/>
    </row>
    <row r="854" spans="12:12" x14ac:dyDescent="0.3">
      <c r="L854" s="13"/>
    </row>
    <row r="855" spans="12:12" x14ac:dyDescent="0.3">
      <c r="L855" s="13"/>
    </row>
    <row r="856" spans="12:12" x14ac:dyDescent="0.3">
      <c r="L856" s="13"/>
    </row>
    <row r="857" spans="12:12" x14ac:dyDescent="0.3">
      <c r="L857" s="13"/>
    </row>
    <row r="858" spans="12:12" x14ac:dyDescent="0.3">
      <c r="L858" s="13"/>
    </row>
    <row r="859" spans="12:12" x14ac:dyDescent="0.3">
      <c r="L859" s="13"/>
    </row>
    <row r="860" spans="12:12" x14ac:dyDescent="0.3">
      <c r="L860" s="13"/>
    </row>
    <row r="861" spans="12:12" x14ac:dyDescent="0.3">
      <c r="L861" s="13"/>
    </row>
    <row r="862" spans="12:12" x14ac:dyDescent="0.3">
      <c r="L862" s="13"/>
    </row>
    <row r="863" spans="12:12" x14ac:dyDescent="0.3">
      <c r="L863" s="13"/>
    </row>
    <row r="864" spans="12:12" x14ac:dyDescent="0.3">
      <c r="L864" s="13"/>
    </row>
    <row r="865" spans="12:12" x14ac:dyDescent="0.3">
      <c r="L865" s="13"/>
    </row>
    <row r="866" spans="12:12" x14ac:dyDescent="0.3">
      <c r="L866" s="13"/>
    </row>
    <row r="867" spans="12:12" x14ac:dyDescent="0.3">
      <c r="L867" s="13"/>
    </row>
    <row r="868" spans="12:12" x14ac:dyDescent="0.3">
      <c r="L868" s="13"/>
    </row>
    <row r="869" spans="12:12" x14ac:dyDescent="0.3">
      <c r="L869" s="13"/>
    </row>
    <row r="870" spans="12:12" x14ac:dyDescent="0.3">
      <c r="L870" s="13"/>
    </row>
    <row r="871" spans="12:12" x14ac:dyDescent="0.3">
      <c r="L871" s="13"/>
    </row>
    <row r="872" spans="12:12" x14ac:dyDescent="0.3">
      <c r="L872" s="13"/>
    </row>
    <row r="873" spans="12:12" x14ac:dyDescent="0.3">
      <c r="L873" s="13"/>
    </row>
    <row r="874" spans="12:12" x14ac:dyDescent="0.3">
      <c r="L874" s="13"/>
    </row>
    <row r="875" spans="12:12" x14ac:dyDescent="0.3">
      <c r="L875" s="13"/>
    </row>
    <row r="876" spans="12:12" x14ac:dyDescent="0.3">
      <c r="L876" s="13"/>
    </row>
    <row r="877" spans="12:12" x14ac:dyDescent="0.3">
      <c r="L877" s="13"/>
    </row>
    <row r="878" spans="12:12" x14ac:dyDescent="0.3">
      <c r="L878" s="13"/>
    </row>
    <row r="879" spans="12:12" x14ac:dyDescent="0.3">
      <c r="L879" s="13"/>
    </row>
    <row r="880" spans="12:12" x14ac:dyDescent="0.3">
      <c r="L880" s="13"/>
    </row>
    <row r="881" spans="12:12" x14ac:dyDescent="0.3">
      <c r="L881" s="13"/>
    </row>
    <row r="882" spans="12:12" x14ac:dyDescent="0.3">
      <c r="L882" s="13"/>
    </row>
    <row r="883" spans="12:12" x14ac:dyDescent="0.3">
      <c r="L883" s="13"/>
    </row>
    <row r="884" spans="12:12" x14ac:dyDescent="0.3">
      <c r="L884" s="13"/>
    </row>
    <row r="885" spans="12:12" x14ac:dyDescent="0.3">
      <c r="L885" s="13"/>
    </row>
    <row r="886" spans="12:12" x14ac:dyDescent="0.3">
      <c r="L886" s="13"/>
    </row>
    <row r="887" spans="12:12" x14ac:dyDescent="0.3">
      <c r="L887" s="13"/>
    </row>
    <row r="888" spans="12:12" x14ac:dyDescent="0.3">
      <c r="L888" s="13"/>
    </row>
    <row r="889" spans="12:12" x14ac:dyDescent="0.3">
      <c r="L889" s="13"/>
    </row>
    <row r="890" spans="12:12" x14ac:dyDescent="0.3">
      <c r="L890" s="13"/>
    </row>
    <row r="891" spans="12:12" x14ac:dyDescent="0.3">
      <c r="L891" s="13"/>
    </row>
    <row r="892" spans="12:12" x14ac:dyDescent="0.3">
      <c r="L892" s="13"/>
    </row>
    <row r="893" spans="12:12" x14ac:dyDescent="0.3">
      <c r="L893" s="13"/>
    </row>
    <row r="894" spans="12:12" x14ac:dyDescent="0.3">
      <c r="L894" s="13"/>
    </row>
    <row r="895" spans="12:12" x14ac:dyDescent="0.3">
      <c r="L895" s="13"/>
    </row>
    <row r="896" spans="12:12" x14ac:dyDescent="0.3">
      <c r="L896" s="13"/>
    </row>
    <row r="897" spans="12:12" x14ac:dyDescent="0.3">
      <c r="L897" s="13"/>
    </row>
    <row r="898" spans="12:12" x14ac:dyDescent="0.3">
      <c r="L898" s="13"/>
    </row>
    <row r="899" spans="12:12" x14ac:dyDescent="0.3">
      <c r="L899" s="13"/>
    </row>
    <row r="900" spans="12:12" x14ac:dyDescent="0.3">
      <c r="L900" s="13"/>
    </row>
    <row r="901" spans="12:12" x14ac:dyDescent="0.3">
      <c r="L901" s="13"/>
    </row>
    <row r="902" spans="12:12" x14ac:dyDescent="0.3">
      <c r="L902" s="13"/>
    </row>
    <row r="903" spans="12:12" x14ac:dyDescent="0.3">
      <c r="L903" s="13"/>
    </row>
    <row r="904" spans="12:12" x14ac:dyDescent="0.3">
      <c r="L904" s="13"/>
    </row>
    <row r="905" spans="12:12" x14ac:dyDescent="0.3">
      <c r="L905" s="13"/>
    </row>
    <row r="906" spans="12:12" x14ac:dyDescent="0.3">
      <c r="L906" s="13"/>
    </row>
    <row r="907" spans="12:12" x14ac:dyDescent="0.3">
      <c r="L907" s="13"/>
    </row>
    <row r="908" spans="12:12" x14ac:dyDescent="0.3">
      <c r="L908" s="13"/>
    </row>
    <row r="909" spans="12:12" x14ac:dyDescent="0.3">
      <c r="L909" s="13"/>
    </row>
    <row r="910" spans="12:12" x14ac:dyDescent="0.3">
      <c r="L910" s="13"/>
    </row>
    <row r="911" spans="12:12" x14ac:dyDescent="0.3">
      <c r="L911" s="13"/>
    </row>
    <row r="912" spans="12:12" x14ac:dyDescent="0.3">
      <c r="L912" s="13"/>
    </row>
    <row r="913" spans="12:12" x14ac:dyDescent="0.3">
      <c r="L913" s="13"/>
    </row>
    <row r="914" spans="12:12" x14ac:dyDescent="0.3">
      <c r="L914" s="13"/>
    </row>
    <row r="915" spans="12:12" x14ac:dyDescent="0.3">
      <c r="L915" s="13"/>
    </row>
    <row r="916" spans="12:12" x14ac:dyDescent="0.3">
      <c r="L916" s="13"/>
    </row>
    <row r="917" spans="12:12" x14ac:dyDescent="0.3">
      <c r="L917" s="13"/>
    </row>
    <row r="918" spans="12:12" x14ac:dyDescent="0.3">
      <c r="L918" s="13"/>
    </row>
    <row r="919" spans="12:12" x14ac:dyDescent="0.3">
      <c r="L919" s="13"/>
    </row>
    <row r="920" spans="12:12" x14ac:dyDescent="0.3">
      <c r="L920" s="13"/>
    </row>
    <row r="921" spans="12:12" x14ac:dyDescent="0.3">
      <c r="L921" s="13"/>
    </row>
    <row r="922" spans="12:12" x14ac:dyDescent="0.3">
      <c r="L922" s="13"/>
    </row>
    <row r="923" spans="12:12" x14ac:dyDescent="0.3">
      <c r="L923" s="13"/>
    </row>
    <row r="924" spans="12:12" x14ac:dyDescent="0.3">
      <c r="L924" s="13"/>
    </row>
    <row r="925" spans="12:12" x14ac:dyDescent="0.3">
      <c r="L925" s="13"/>
    </row>
    <row r="926" spans="12:12" x14ac:dyDescent="0.3">
      <c r="L926" s="13"/>
    </row>
    <row r="927" spans="12:12" x14ac:dyDescent="0.3">
      <c r="L927" s="13"/>
    </row>
    <row r="928" spans="12:12" x14ac:dyDescent="0.3">
      <c r="L928" s="13"/>
    </row>
    <row r="929" spans="12:12" x14ac:dyDescent="0.3">
      <c r="L929" s="13"/>
    </row>
    <row r="930" spans="12:12" x14ac:dyDescent="0.3">
      <c r="L930" s="13"/>
    </row>
    <row r="931" spans="12:12" x14ac:dyDescent="0.3">
      <c r="L931" s="13"/>
    </row>
    <row r="932" spans="12:12" x14ac:dyDescent="0.3">
      <c r="L932" s="13"/>
    </row>
    <row r="933" spans="12:12" x14ac:dyDescent="0.3">
      <c r="L933" s="13"/>
    </row>
    <row r="934" spans="12:12" x14ac:dyDescent="0.3">
      <c r="L934" s="13"/>
    </row>
    <row r="935" spans="12:12" x14ac:dyDescent="0.3">
      <c r="L935" s="13"/>
    </row>
    <row r="936" spans="12:12" x14ac:dyDescent="0.3">
      <c r="L936" s="13"/>
    </row>
    <row r="937" spans="12:12" x14ac:dyDescent="0.3">
      <c r="L937" s="13"/>
    </row>
    <row r="938" spans="12:12" x14ac:dyDescent="0.3">
      <c r="L938" s="13"/>
    </row>
    <row r="939" spans="12:12" x14ac:dyDescent="0.3">
      <c r="L939" s="13"/>
    </row>
    <row r="940" spans="12:12" x14ac:dyDescent="0.3">
      <c r="L940" s="13"/>
    </row>
    <row r="941" spans="12:12" x14ac:dyDescent="0.3">
      <c r="L941" s="13"/>
    </row>
    <row r="942" spans="12:12" x14ac:dyDescent="0.3">
      <c r="L942" s="13"/>
    </row>
    <row r="943" spans="12:12" x14ac:dyDescent="0.3">
      <c r="L943" s="13"/>
    </row>
    <row r="944" spans="12:12" x14ac:dyDescent="0.3">
      <c r="L944" s="13"/>
    </row>
    <row r="945" spans="12:12" x14ac:dyDescent="0.3">
      <c r="L945" s="13"/>
    </row>
    <row r="946" spans="12:12" x14ac:dyDescent="0.3">
      <c r="L946" s="13"/>
    </row>
    <row r="947" spans="12:12" x14ac:dyDescent="0.3">
      <c r="L947" s="13"/>
    </row>
    <row r="948" spans="12:12" x14ac:dyDescent="0.3">
      <c r="L948" s="13"/>
    </row>
    <row r="949" spans="12:12" x14ac:dyDescent="0.3">
      <c r="L949" s="13"/>
    </row>
    <row r="950" spans="12:12" x14ac:dyDescent="0.3">
      <c r="L950" s="13"/>
    </row>
    <row r="951" spans="12:12" x14ac:dyDescent="0.3">
      <c r="L951" s="13"/>
    </row>
    <row r="952" spans="12:12" x14ac:dyDescent="0.3">
      <c r="L952" s="13"/>
    </row>
    <row r="953" spans="12:12" x14ac:dyDescent="0.3">
      <c r="L953" s="13"/>
    </row>
    <row r="954" spans="12:12" x14ac:dyDescent="0.3">
      <c r="L954" s="13"/>
    </row>
    <row r="955" spans="12:12" x14ac:dyDescent="0.3">
      <c r="L955" s="13"/>
    </row>
    <row r="956" spans="12:12" x14ac:dyDescent="0.3">
      <c r="L956" s="13"/>
    </row>
    <row r="957" spans="12:12" x14ac:dyDescent="0.3">
      <c r="L957" s="13"/>
    </row>
    <row r="958" spans="12:12" x14ac:dyDescent="0.3">
      <c r="L958" s="13"/>
    </row>
    <row r="959" spans="12:12" x14ac:dyDescent="0.3">
      <c r="L959" s="13"/>
    </row>
    <row r="960" spans="12:12" x14ac:dyDescent="0.3">
      <c r="L960" s="13"/>
    </row>
    <row r="961" spans="12:12" x14ac:dyDescent="0.3">
      <c r="L961" s="13"/>
    </row>
    <row r="962" spans="12:12" x14ac:dyDescent="0.3">
      <c r="L962" s="13"/>
    </row>
    <row r="963" spans="12:12" x14ac:dyDescent="0.3">
      <c r="L963" s="13"/>
    </row>
    <row r="964" spans="12:12" x14ac:dyDescent="0.3">
      <c r="L964" s="13"/>
    </row>
    <row r="965" spans="12:12" x14ac:dyDescent="0.3">
      <c r="L965" s="13"/>
    </row>
    <row r="966" spans="12:12" x14ac:dyDescent="0.3">
      <c r="L966" s="13"/>
    </row>
    <row r="967" spans="12:12" x14ac:dyDescent="0.3">
      <c r="L967" s="13"/>
    </row>
    <row r="968" spans="12:12" x14ac:dyDescent="0.3">
      <c r="L968" s="13"/>
    </row>
    <row r="969" spans="12:12" x14ac:dyDescent="0.3">
      <c r="L969" s="13"/>
    </row>
    <row r="970" spans="12:12" x14ac:dyDescent="0.3">
      <c r="L970" s="13"/>
    </row>
    <row r="971" spans="12:12" x14ac:dyDescent="0.3">
      <c r="L971" s="13"/>
    </row>
    <row r="972" spans="12:12" x14ac:dyDescent="0.3">
      <c r="L972" s="13"/>
    </row>
    <row r="973" spans="12:12" x14ac:dyDescent="0.3">
      <c r="L973" s="13"/>
    </row>
    <row r="974" spans="12:12" x14ac:dyDescent="0.3">
      <c r="L974" s="13"/>
    </row>
    <row r="975" spans="12:12" x14ac:dyDescent="0.3">
      <c r="L975" s="13"/>
    </row>
    <row r="976" spans="12:12" x14ac:dyDescent="0.3">
      <c r="L976" s="13"/>
    </row>
    <row r="977" spans="12:12" x14ac:dyDescent="0.3">
      <c r="L977" s="13"/>
    </row>
    <row r="978" spans="12:12" x14ac:dyDescent="0.3">
      <c r="L978" s="13"/>
    </row>
    <row r="979" spans="12:12" x14ac:dyDescent="0.3">
      <c r="L979" s="13"/>
    </row>
    <row r="980" spans="12:12" x14ac:dyDescent="0.3">
      <c r="L980" s="13"/>
    </row>
    <row r="981" spans="12:12" x14ac:dyDescent="0.3">
      <c r="L981" s="13"/>
    </row>
    <row r="982" spans="12:12" x14ac:dyDescent="0.3">
      <c r="L982" s="13"/>
    </row>
    <row r="983" spans="12:12" x14ac:dyDescent="0.3">
      <c r="L983" s="13"/>
    </row>
    <row r="984" spans="12:12" x14ac:dyDescent="0.3">
      <c r="L984" s="13"/>
    </row>
    <row r="985" spans="12:12" x14ac:dyDescent="0.3">
      <c r="L985" s="13"/>
    </row>
    <row r="986" spans="12:12" x14ac:dyDescent="0.3">
      <c r="L986" s="13"/>
    </row>
    <row r="987" spans="12:12" x14ac:dyDescent="0.3">
      <c r="L987" s="13"/>
    </row>
    <row r="988" spans="12:12" x14ac:dyDescent="0.3">
      <c r="L988" s="13"/>
    </row>
    <row r="989" spans="12:12" x14ac:dyDescent="0.3">
      <c r="L989" s="13"/>
    </row>
    <row r="990" spans="12:12" x14ac:dyDescent="0.3">
      <c r="L990" s="13"/>
    </row>
    <row r="991" spans="12:12" x14ac:dyDescent="0.3">
      <c r="L991" s="13"/>
    </row>
    <row r="992" spans="12:12" x14ac:dyDescent="0.3">
      <c r="L992" s="13"/>
    </row>
    <row r="993" spans="12:12" x14ac:dyDescent="0.3">
      <c r="L993" s="13"/>
    </row>
    <row r="994" spans="12:12" x14ac:dyDescent="0.3">
      <c r="L994" s="13"/>
    </row>
    <row r="995" spans="12:12" x14ac:dyDescent="0.3">
      <c r="L995" s="13"/>
    </row>
    <row r="996" spans="12:12" x14ac:dyDescent="0.3">
      <c r="L996" s="13"/>
    </row>
    <row r="997" spans="12:12" x14ac:dyDescent="0.3">
      <c r="L997" s="13"/>
    </row>
    <row r="998" spans="12:12" x14ac:dyDescent="0.3">
      <c r="L998" s="13"/>
    </row>
    <row r="999" spans="12:12" x14ac:dyDescent="0.3">
      <c r="L999" s="13"/>
    </row>
    <row r="1000" spans="12:12" x14ac:dyDescent="0.3">
      <c r="L1000" s="13"/>
    </row>
    <row r="1001" spans="12:12" x14ac:dyDescent="0.3">
      <c r="L1001" s="13"/>
    </row>
    <row r="1002" spans="12:12" x14ac:dyDescent="0.3">
      <c r="L1002" s="13"/>
    </row>
    <row r="1003" spans="12:12" x14ac:dyDescent="0.3">
      <c r="L1003" s="13"/>
    </row>
    <row r="1004" spans="12:12" x14ac:dyDescent="0.3">
      <c r="L1004" s="13"/>
    </row>
    <row r="1005" spans="12:12" x14ac:dyDescent="0.3">
      <c r="L1005" s="13"/>
    </row>
    <row r="1006" spans="12:12" x14ac:dyDescent="0.3">
      <c r="L1006" s="13"/>
    </row>
    <row r="1007" spans="12:12" x14ac:dyDescent="0.3">
      <c r="L1007" s="13"/>
    </row>
    <row r="1008" spans="12:12" x14ac:dyDescent="0.3">
      <c r="L1008" s="13"/>
    </row>
    <row r="1009" spans="12:12" x14ac:dyDescent="0.3">
      <c r="L1009" s="13"/>
    </row>
    <row r="1010" spans="12:12" x14ac:dyDescent="0.3">
      <c r="L1010" s="13"/>
    </row>
    <row r="1011" spans="12:12" x14ac:dyDescent="0.3">
      <c r="L1011" s="13"/>
    </row>
    <row r="1012" spans="12:12" x14ac:dyDescent="0.3">
      <c r="L1012" s="13"/>
    </row>
    <row r="1013" spans="12:12" x14ac:dyDescent="0.3">
      <c r="L1013" s="13"/>
    </row>
    <row r="1014" spans="12:12" x14ac:dyDescent="0.3">
      <c r="L1014" s="13"/>
    </row>
    <row r="1015" spans="12:12" x14ac:dyDescent="0.3">
      <c r="L1015" s="13"/>
    </row>
    <row r="1016" spans="12:12" x14ac:dyDescent="0.3">
      <c r="L1016" s="13"/>
    </row>
    <row r="1017" spans="12:12" x14ac:dyDescent="0.3">
      <c r="L1017" s="13"/>
    </row>
    <row r="1018" spans="12:12" x14ac:dyDescent="0.3">
      <c r="L1018" s="13"/>
    </row>
    <row r="1019" spans="12:12" x14ac:dyDescent="0.3">
      <c r="L1019" s="13"/>
    </row>
    <row r="1020" spans="12:12" x14ac:dyDescent="0.3">
      <c r="L1020" s="13"/>
    </row>
    <row r="1021" spans="12:12" x14ac:dyDescent="0.3">
      <c r="L1021" s="13"/>
    </row>
    <row r="1022" spans="12:12" x14ac:dyDescent="0.3">
      <c r="L1022" s="13"/>
    </row>
    <row r="1023" spans="12:12" x14ac:dyDescent="0.3">
      <c r="L1023" s="13"/>
    </row>
    <row r="1024" spans="12:12" x14ac:dyDescent="0.3">
      <c r="L1024" s="13"/>
    </row>
    <row r="1025" spans="12:12" x14ac:dyDescent="0.3">
      <c r="L1025" s="13"/>
    </row>
    <row r="1026" spans="12:12" x14ac:dyDescent="0.3">
      <c r="L1026" s="13"/>
    </row>
    <row r="1027" spans="12:12" x14ac:dyDescent="0.3">
      <c r="L1027" s="13"/>
    </row>
    <row r="1028" spans="12:12" x14ac:dyDescent="0.3">
      <c r="L1028" s="13"/>
    </row>
    <row r="1029" spans="12:12" x14ac:dyDescent="0.3">
      <c r="L1029" s="13"/>
    </row>
    <row r="1030" spans="12:12" x14ac:dyDescent="0.3">
      <c r="L1030" s="13"/>
    </row>
    <row r="1031" spans="12:12" x14ac:dyDescent="0.3">
      <c r="L1031" s="13"/>
    </row>
    <row r="1032" spans="12:12" x14ac:dyDescent="0.3">
      <c r="L1032" s="13"/>
    </row>
    <row r="1033" spans="12:12" x14ac:dyDescent="0.3">
      <c r="L1033" s="13"/>
    </row>
    <row r="1034" spans="12:12" x14ac:dyDescent="0.3">
      <c r="L1034" s="13"/>
    </row>
    <row r="1035" spans="12:12" x14ac:dyDescent="0.3">
      <c r="L1035" s="13"/>
    </row>
    <row r="1036" spans="12:12" x14ac:dyDescent="0.3">
      <c r="L1036" s="13"/>
    </row>
    <row r="1037" spans="12:12" x14ac:dyDescent="0.3">
      <c r="L1037" s="13"/>
    </row>
    <row r="1038" spans="12:12" x14ac:dyDescent="0.3">
      <c r="L1038" s="13"/>
    </row>
    <row r="1039" spans="12:12" x14ac:dyDescent="0.3">
      <c r="L1039" s="13"/>
    </row>
    <row r="1040" spans="12:12" x14ac:dyDescent="0.3">
      <c r="L1040" s="13"/>
    </row>
    <row r="1041" spans="12:12" x14ac:dyDescent="0.3">
      <c r="L1041" s="13"/>
    </row>
    <row r="1042" spans="12:12" x14ac:dyDescent="0.3">
      <c r="L1042" s="13"/>
    </row>
    <row r="1043" spans="12:12" x14ac:dyDescent="0.3">
      <c r="L1043" s="13"/>
    </row>
    <row r="1044" spans="12:12" x14ac:dyDescent="0.3">
      <c r="L1044" s="13"/>
    </row>
    <row r="1045" spans="12:12" x14ac:dyDescent="0.3">
      <c r="L1045" s="13"/>
    </row>
    <row r="1046" spans="12:12" x14ac:dyDescent="0.3">
      <c r="L1046" s="13"/>
    </row>
    <row r="1047" spans="12:12" x14ac:dyDescent="0.3">
      <c r="L1047" s="13"/>
    </row>
    <row r="1048" spans="12:12" x14ac:dyDescent="0.3">
      <c r="L1048" s="13"/>
    </row>
    <row r="1049" spans="12:12" x14ac:dyDescent="0.3">
      <c r="L1049" s="13"/>
    </row>
    <row r="1050" spans="12:12" x14ac:dyDescent="0.3">
      <c r="L1050" s="13"/>
    </row>
    <row r="1051" spans="12:12" x14ac:dyDescent="0.3">
      <c r="L1051" s="13"/>
    </row>
    <row r="1052" spans="12:12" x14ac:dyDescent="0.3">
      <c r="L1052" s="13"/>
    </row>
    <row r="1053" spans="12:12" x14ac:dyDescent="0.3">
      <c r="L1053" s="13"/>
    </row>
    <row r="1054" spans="12:12" x14ac:dyDescent="0.3">
      <c r="L1054" s="13"/>
    </row>
    <row r="1055" spans="12:12" x14ac:dyDescent="0.3">
      <c r="L1055" s="13"/>
    </row>
    <row r="1056" spans="12:12" x14ac:dyDescent="0.3">
      <c r="L1056" s="13"/>
    </row>
    <row r="1057" spans="12:12" x14ac:dyDescent="0.3">
      <c r="L1057" s="13"/>
    </row>
    <row r="1058" spans="12:12" x14ac:dyDescent="0.3">
      <c r="L1058" s="13"/>
    </row>
    <row r="1059" spans="12:12" x14ac:dyDescent="0.3">
      <c r="L1059" s="13"/>
    </row>
    <row r="1060" spans="12:12" x14ac:dyDescent="0.3">
      <c r="L1060" s="13"/>
    </row>
    <row r="1061" spans="12:12" x14ac:dyDescent="0.3">
      <c r="L1061" s="13"/>
    </row>
    <row r="1062" spans="12:12" x14ac:dyDescent="0.3">
      <c r="L1062" s="13"/>
    </row>
    <row r="1063" spans="12:12" x14ac:dyDescent="0.3">
      <c r="L1063" s="13"/>
    </row>
    <row r="1064" spans="12:12" x14ac:dyDescent="0.3">
      <c r="L1064" s="13"/>
    </row>
    <row r="1065" spans="12:12" x14ac:dyDescent="0.3">
      <c r="L1065" s="13"/>
    </row>
    <row r="1066" spans="12:12" x14ac:dyDescent="0.3">
      <c r="L1066" s="13"/>
    </row>
    <row r="1067" spans="12:12" x14ac:dyDescent="0.3">
      <c r="L1067" s="13"/>
    </row>
    <row r="1068" spans="12:12" x14ac:dyDescent="0.3">
      <c r="L1068" s="13"/>
    </row>
    <row r="1069" spans="12:12" x14ac:dyDescent="0.3">
      <c r="L1069" s="13"/>
    </row>
    <row r="1070" spans="12:12" x14ac:dyDescent="0.3">
      <c r="L1070" s="13"/>
    </row>
    <row r="1071" spans="12:12" x14ac:dyDescent="0.3">
      <c r="L1071" s="13"/>
    </row>
    <row r="1072" spans="12:12" x14ac:dyDescent="0.3">
      <c r="L1072" s="13"/>
    </row>
    <row r="1073" spans="12:12" x14ac:dyDescent="0.3">
      <c r="L1073" s="13"/>
    </row>
    <row r="1074" spans="12:12" x14ac:dyDescent="0.3">
      <c r="L1074" s="13"/>
    </row>
    <row r="1075" spans="12:12" x14ac:dyDescent="0.3">
      <c r="L1075" s="13"/>
    </row>
    <row r="1076" spans="12:12" x14ac:dyDescent="0.3">
      <c r="L1076" s="13"/>
    </row>
    <row r="1077" spans="12:12" x14ac:dyDescent="0.3">
      <c r="L1077" s="13"/>
    </row>
    <row r="1078" spans="12:12" x14ac:dyDescent="0.3">
      <c r="L1078" s="13"/>
    </row>
    <row r="1079" spans="12:12" x14ac:dyDescent="0.3">
      <c r="L1079" s="13"/>
    </row>
    <row r="1080" spans="12:12" x14ac:dyDescent="0.3">
      <c r="L1080" s="13"/>
    </row>
    <row r="1081" spans="12:12" x14ac:dyDescent="0.3">
      <c r="L1081" s="13"/>
    </row>
    <row r="1082" spans="12:12" x14ac:dyDescent="0.3">
      <c r="L1082" s="13"/>
    </row>
    <row r="1083" spans="12:12" x14ac:dyDescent="0.3">
      <c r="L1083" s="13"/>
    </row>
    <row r="1084" spans="12:12" x14ac:dyDescent="0.3">
      <c r="L1084" s="13"/>
    </row>
    <row r="1085" spans="12:12" x14ac:dyDescent="0.3">
      <c r="L1085" s="13"/>
    </row>
    <row r="1086" spans="12:12" x14ac:dyDescent="0.3">
      <c r="L1086" s="13"/>
    </row>
    <row r="1087" spans="12:12" x14ac:dyDescent="0.3">
      <c r="L1087" s="13"/>
    </row>
    <row r="1088" spans="12:12" x14ac:dyDescent="0.3">
      <c r="L1088" s="13"/>
    </row>
    <row r="1089" spans="12:12" x14ac:dyDescent="0.3">
      <c r="L1089" s="13"/>
    </row>
    <row r="1090" spans="12:12" x14ac:dyDescent="0.3">
      <c r="L1090" s="13"/>
    </row>
    <row r="1091" spans="12:12" x14ac:dyDescent="0.3">
      <c r="L1091" s="13"/>
    </row>
    <row r="1092" spans="12:12" x14ac:dyDescent="0.3">
      <c r="L1092" s="13"/>
    </row>
    <row r="1093" spans="12:12" x14ac:dyDescent="0.3">
      <c r="L1093" s="13"/>
    </row>
    <row r="1094" spans="12:12" x14ac:dyDescent="0.3">
      <c r="L1094" s="13"/>
    </row>
    <row r="1095" spans="12:12" x14ac:dyDescent="0.3">
      <c r="L1095" s="13"/>
    </row>
    <row r="1096" spans="12:12" x14ac:dyDescent="0.3">
      <c r="L1096" s="13"/>
    </row>
    <row r="1097" spans="12:12" x14ac:dyDescent="0.3">
      <c r="L1097" s="13"/>
    </row>
    <row r="1098" spans="12:12" x14ac:dyDescent="0.3">
      <c r="L1098" s="13"/>
    </row>
    <row r="1099" spans="12:12" x14ac:dyDescent="0.3">
      <c r="L1099" s="13"/>
    </row>
    <row r="1100" spans="12:12" x14ac:dyDescent="0.3">
      <c r="L1100" s="13"/>
    </row>
    <row r="1101" spans="12:12" x14ac:dyDescent="0.3">
      <c r="L1101" s="13"/>
    </row>
    <row r="1102" spans="12:12" x14ac:dyDescent="0.3">
      <c r="L1102" s="13"/>
    </row>
    <row r="1103" spans="12:12" x14ac:dyDescent="0.3">
      <c r="L1103" s="13"/>
    </row>
    <row r="1104" spans="12:12" x14ac:dyDescent="0.3">
      <c r="L1104" s="13"/>
    </row>
    <row r="1105" spans="12:12" x14ac:dyDescent="0.3">
      <c r="L1105" s="13"/>
    </row>
    <row r="1106" spans="12:12" x14ac:dyDescent="0.3">
      <c r="L1106" s="13"/>
    </row>
    <row r="1107" spans="12:12" x14ac:dyDescent="0.3">
      <c r="L1107" s="13"/>
    </row>
    <row r="1108" spans="12:12" x14ac:dyDescent="0.3">
      <c r="L1108" s="13"/>
    </row>
    <row r="1109" spans="12:12" x14ac:dyDescent="0.3">
      <c r="L1109" s="13"/>
    </row>
    <row r="1110" spans="12:12" x14ac:dyDescent="0.3">
      <c r="L1110" s="13"/>
    </row>
    <row r="1111" spans="12:12" x14ac:dyDescent="0.3">
      <c r="L1111" s="13"/>
    </row>
    <row r="1112" spans="12:12" x14ac:dyDescent="0.3">
      <c r="L1112" s="13"/>
    </row>
    <row r="1113" spans="12:12" x14ac:dyDescent="0.3">
      <c r="L1113" s="13"/>
    </row>
    <row r="1114" spans="12:12" x14ac:dyDescent="0.3">
      <c r="L1114" s="13"/>
    </row>
    <row r="1115" spans="12:12" x14ac:dyDescent="0.3">
      <c r="L1115" s="13"/>
    </row>
    <row r="1116" spans="12:12" x14ac:dyDescent="0.3">
      <c r="L1116" s="13"/>
    </row>
    <row r="1117" spans="12:12" x14ac:dyDescent="0.3">
      <c r="L1117" s="13"/>
    </row>
    <row r="1118" spans="12:12" x14ac:dyDescent="0.3">
      <c r="L1118" s="13"/>
    </row>
    <row r="1119" spans="12:12" x14ac:dyDescent="0.3">
      <c r="L1119" s="13"/>
    </row>
    <row r="1120" spans="12:12" x14ac:dyDescent="0.3">
      <c r="L1120" s="13"/>
    </row>
    <row r="1121" spans="12:12" x14ac:dyDescent="0.3">
      <c r="L1121" s="13"/>
    </row>
    <row r="1122" spans="12:12" x14ac:dyDescent="0.3">
      <c r="L1122" s="13"/>
    </row>
    <row r="1123" spans="12:12" x14ac:dyDescent="0.3">
      <c r="L1123" s="13"/>
    </row>
    <row r="1124" spans="12:12" x14ac:dyDescent="0.3">
      <c r="L1124" s="13"/>
    </row>
    <row r="1125" spans="12:12" x14ac:dyDescent="0.3">
      <c r="L1125" s="13"/>
    </row>
    <row r="1126" spans="12:12" x14ac:dyDescent="0.3">
      <c r="L1126" s="13"/>
    </row>
    <row r="1127" spans="12:12" x14ac:dyDescent="0.3">
      <c r="L1127" s="13"/>
    </row>
    <row r="1128" spans="12:12" x14ac:dyDescent="0.3">
      <c r="L1128" s="13"/>
    </row>
    <row r="1129" spans="12:12" x14ac:dyDescent="0.3">
      <c r="L1129" s="13"/>
    </row>
    <row r="1130" spans="12:12" x14ac:dyDescent="0.3">
      <c r="L1130" s="13"/>
    </row>
    <row r="1131" spans="12:12" x14ac:dyDescent="0.3">
      <c r="L1131" s="13"/>
    </row>
    <row r="1132" spans="12:12" x14ac:dyDescent="0.3">
      <c r="L1132" s="13"/>
    </row>
    <row r="1133" spans="12:12" x14ac:dyDescent="0.3">
      <c r="L1133" s="13"/>
    </row>
    <row r="1134" spans="12:12" x14ac:dyDescent="0.3">
      <c r="L1134" s="13"/>
    </row>
    <row r="1135" spans="12:12" x14ac:dyDescent="0.3">
      <c r="L1135" s="13"/>
    </row>
    <row r="1136" spans="12:12" x14ac:dyDescent="0.3">
      <c r="L1136" s="13"/>
    </row>
    <row r="1137" spans="12:12" x14ac:dyDescent="0.3">
      <c r="L1137" s="13"/>
    </row>
    <row r="1138" spans="12:12" x14ac:dyDescent="0.3">
      <c r="L1138" s="13"/>
    </row>
    <row r="1139" spans="12:12" x14ac:dyDescent="0.3">
      <c r="L1139" s="13"/>
    </row>
    <row r="1140" spans="12:12" x14ac:dyDescent="0.3">
      <c r="L1140" s="13"/>
    </row>
    <row r="1141" spans="12:12" x14ac:dyDescent="0.3">
      <c r="L1141" s="13"/>
    </row>
    <row r="1142" spans="12:12" x14ac:dyDescent="0.3">
      <c r="L1142" s="13"/>
    </row>
    <row r="1143" spans="12:12" x14ac:dyDescent="0.3">
      <c r="L1143" s="13"/>
    </row>
    <row r="1144" spans="12:12" x14ac:dyDescent="0.3">
      <c r="L1144" s="13"/>
    </row>
    <row r="1145" spans="12:12" x14ac:dyDescent="0.3">
      <c r="L1145" s="13"/>
    </row>
    <row r="1146" spans="12:12" x14ac:dyDescent="0.3">
      <c r="L1146" s="13"/>
    </row>
    <row r="1147" spans="12:12" x14ac:dyDescent="0.3">
      <c r="L1147" s="13"/>
    </row>
    <row r="1148" spans="12:12" x14ac:dyDescent="0.3">
      <c r="L1148" s="13"/>
    </row>
    <row r="1149" spans="12:12" x14ac:dyDescent="0.3">
      <c r="L1149" s="13"/>
    </row>
    <row r="1150" spans="12:12" x14ac:dyDescent="0.3">
      <c r="L1150" s="13"/>
    </row>
    <row r="1151" spans="12:12" x14ac:dyDescent="0.3">
      <c r="L1151" s="13"/>
    </row>
    <row r="1152" spans="12:12" x14ac:dyDescent="0.3">
      <c r="L1152" s="13"/>
    </row>
    <row r="1153" spans="12:12" x14ac:dyDescent="0.3">
      <c r="L1153" s="13"/>
    </row>
    <row r="1154" spans="12:12" x14ac:dyDescent="0.3">
      <c r="L1154" s="13"/>
    </row>
    <row r="1155" spans="12:12" x14ac:dyDescent="0.3">
      <c r="L1155" s="13"/>
    </row>
    <row r="1156" spans="12:12" x14ac:dyDescent="0.3">
      <c r="L1156" s="13"/>
    </row>
    <row r="1157" spans="12:12" x14ac:dyDescent="0.3">
      <c r="L1157" s="13"/>
    </row>
    <row r="1158" spans="12:12" x14ac:dyDescent="0.3">
      <c r="L1158" s="13"/>
    </row>
    <row r="1159" spans="12:12" x14ac:dyDescent="0.3">
      <c r="L1159" s="13"/>
    </row>
    <row r="1160" spans="12:12" x14ac:dyDescent="0.3">
      <c r="L1160" s="13"/>
    </row>
    <row r="1161" spans="12:12" x14ac:dyDescent="0.3">
      <c r="L1161" s="13"/>
    </row>
    <row r="1162" spans="12:12" x14ac:dyDescent="0.3">
      <c r="L1162" s="13"/>
    </row>
    <row r="1163" spans="12:12" x14ac:dyDescent="0.3">
      <c r="L1163" s="13"/>
    </row>
    <row r="1164" spans="12:12" x14ac:dyDescent="0.3">
      <c r="L1164" s="13"/>
    </row>
    <row r="1165" spans="12:12" x14ac:dyDescent="0.3">
      <c r="L1165" s="13"/>
    </row>
    <row r="1166" spans="12:12" x14ac:dyDescent="0.3">
      <c r="L1166" s="13"/>
    </row>
    <row r="1167" spans="12:12" x14ac:dyDescent="0.3">
      <c r="L1167" s="13"/>
    </row>
    <row r="1168" spans="12:12" x14ac:dyDescent="0.3">
      <c r="L1168" s="13"/>
    </row>
    <row r="1169" spans="12:12" x14ac:dyDescent="0.3">
      <c r="L1169" s="13"/>
    </row>
    <row r="1170" spans="12:12" x14ac:dyDescent="0.3">
      <c r="L1170" s="13"/>
    </row>
    <row r="1171" spans="12:12" x14ac:dyDescent="0.3">
      <c r="L1171" s="13"/>
    </row>
    <row r="1172" spans="12:12" x14ac:dyDescent="0.3">
      <c r="L1172" s="13"/>
    </row>
    <row r="1173" spans="12:12" x14ac:dyDescent="0.3">
      <c r="L1173" s="13"/>
    </row>
    <row r="1174" spans="12:12" x14ac:dyDescent="0.3">
      <c r="L1174" s="13"/>
    </row>
    <row r="1175" spans="12:12" x14ac:dyDescent="0.3">
      <c r="L1175" s="13"/>
    </row>
    <row r="1176" spans="12:12" x14ac:dyDescent="0.3">
      <c r="L1176" s="13"/>
    </row>
    <row r="1177" spans="12:12" x14ac:dyDescent="0.3">
      <c r="L1177" s="13"/>
    </row>
    <row r="1178" spans="12:12" x14ac:dyDescent="0.3">
      <c r="L1178" s="13"/>
    </row>
    <row r="1179" spans="12:12" x14ac:dyDescent="0.3">
      <c r="L1179" s="13"/>
    </row>
    <row r="1180" spans="12:12" x14ac:dyDescent="0.3">
      <c r="L1180" s="13"/>
    </row>
    <row r="1181" spans="12:12" x14ac:dyDescent="0.3">
      <c r="L1181" s="13"/>
    </row>
    <row r="1182" spans="12:12" x14ac:dyDescent="0.3">
      <c r="L1182" s="13"/>
    </row>
    <row r="1183" spans="12:12" x14ac:dyDescent="0.3">
      <c r="L1183" s="13"/>
    </row>
    <row r="1184" spans="12:12" x14ac:dyDescent="0.3">
      <c r="L1184" s="13"/>
    </row>
    <row r="1185" spans="12:12" x14ac:dyDescent="0.3">
      <c r="L1185" s="13"/>
    </row>
    <row r="1186" spans="12:12" x14ac:dyDescent="0.3">
      <c r="L1186" s="13"/>
    </row>
    <row r="1187" spans="12:12" x14ac:dyDescent="0.3">
      <c r="L1187" s="13"/>
    </row>
    <row r="1188" spans="12:12" x14ac:dyDescent="0.3">
      <c r="L1188" s="13"/>
    </row>
    <row r="1189" spans="12:12" x14ac:dyDescent="0.3">
      <c r="L1189" s="13"/>
    </row>
    <row r="1190" spans="12:12" x14ac:dyDescent="0.3">
      <c r="L1190" s="13"/>
    </row>
    <row r="1191" spans="12:12" x14ac:dyDescent="0.3">
      <c r="L1191" s="13"/>
    </row>
    <row r="1192" spans="12:12" x14ac:dyDescent="0.3">
      <c r="L1192" s="13"/>
    </row>
    <row r="1193" spans="12:12" x14ac:dyDescent="0.3">
      <c r="L1193" s="13"/>
    </row>
    <row r="1194" spans="12:12" x14ac:dyDescent="0.3">
      <c r="L1194" s="13"/>
    </row>
    <row r="1195" spans="12:12" x14ac:dyDescent="0.3">
      <c r="L1195" s="13"/>
    </row>
    <row r="1196" spans="12:12" x14ac:dyDescent="0.3">
      <c r="L1196" s="13"/>
    </row>
    <row r="1197" spans="12:12" x14ac:dyDescent="0.3">
      <c r="L1197" s="13"/>
    </row>
    <row r="1198" spans="12:12" x14ac:dyDescent="0.3">
      <c r="L1198" s="13"/>
    </row>
    <row r="1199" spans="12:12" x14ac:dyDescent="0.3">
      <c r="L1199" s="13"/>
    </row>
    <row r="1200" spans="12:12" x14ac:dyDescent="0.3">
      <c r="L1200" s="13"/>
    </row>
    <row r="1201" spans="12:12" x14ac:dyDescent="0.3">
      <c r="L1201" s="13"/>
    </row>
    <row r="1202" spans="12:12" x14ac:dyDescent="0.3">
      <c r="L1202" s="13"/>
    </row>
    <row r="1203" spans="12:12" x14ac:dyDescent="0.3">
      <c r="L1203" s="13"/>
    </row>
    <row r="1204" spans="12:12" x14ac:dyDescent="0.3">
      <c r="L1204" s="13"/>
    </row>
    <row r="1205" spans="12:12" x14ac:dyDescent="0.3">
      <c r="L1205" s="13"/>
    </row>
    <row r="1206" spans="12:12" x14ac:dyDescent="0.3">
      <c r="L1206" s="13"/>
    </row>
    <row r="1207" spans="12:12" x14ac:dyDescent="0.3">
      <c r="L1207" s="13"/>
    </row>
    <row r="1208" spans="12:12" x14ac:dyDescent="0.3">
      <c r="L1208" s="13"/>
    </row>
    <row r="1209" spans="12:12" x14ac:dyDescent="0.3">
      <c r="L1209" s="13"/>
    </row>
    <row r="1210" spans="12:12" x14ac:dyDescent="0.3">
      <c r="L1210" s="13"/>
    </row>
    <row r="1211" spans="12:12" x14ac:dyDescent="0.3">
      <c r="L1211" s="13"/>
    </row>
    <row r="1212" spans="12:12" x14ac:dyDescent="0.3">
      <c r="L1212" s="13"/>
    </row>
    <row r="1213" spans="12:12" x14ac:dyDescent="0.3">
      <c r="L1213" s="13"/>
    </row>
    <row r="1214" spans="12:12" x14ac:dyDescent="0.3">
      <c r="L1214" s="13"/>
    </row>
    <row r="1215" spans="12:12" x14ac:dyDescent="0.3">
      <c r="L1215" s="13"/>
    </row>
    <row r="1216" spans="12:12" x14ac:dyDescent="0.3">
      <c r="L1216" s="13"/>
    </row>
    <row r="1217" spans="12:12" x14ac:dyDescent="0.3">
      <c r="L1217" s="13"/>
    </row>
    <row r="1218" spans="12:12" x14ac:dyDescent="0.3">
      <c r="L1218" s="13"/>
    </row>
    <row r="1219" spans="12:12" x14ac:dyDescent="0.3">
      <c r="L1219" s="13"/>
    </row>
    <row r="1220" spans="12:12" x14ac:dyDescent="0.3">
      <c r="L1220" s="13"/>
    </row>
    <row r="1221" spans="12:12" x14ac:dyDescent="0.3">
      <c r="L1221" s="13"/>
    </row>
    <row r="1222" spans="12:12" x14ac:dyDescent="0.3">
      <c r="L1222" s="13"/>
    </row>
    <row r="1223" spans="12:12" x14ac:dyDescent="0.3">
      <c r="L1223" s="13"/>
    </row>
    <row r="1224" spans="12:12" x14ac:dyDescent="0.3">
      <c r="L1224" s="13"/>
    </row>
    <row r="1225" spans="12:12" x14ac:dyDescent="0.3">
      <c r="L1225" s="13"/>
    </row>
    <row r="1226" spans="12:12" x14ac:dyDescent="0.3">
      <c r="L1226" s="13"/>
    </row>
    <row r="1227" spans="12:12" x14ac:dyDescent="0.3">
      <c r="L1227" s="13"/>
    </row>
    <row r="1228" spans="12:12" x14ac:dyDescent="0.3">
      <c r="L1228" s="13"/>
    </row>
    <row r="1229" spans="12:12" x14ac:dyDescent="0.3">
      <c r="L1229" s="13"/>
    </row>
    <row r="1230" spans="12:12" x14ac:dyDescent="0.3">
      <c r="L1230" s="13"/>
    </row>
    <row r="1231" spans="12:12" x14ac:dyDescent="0.3">
      <c r="L1231" s="13"/>
    </row>
    <row r="1232" spans="12:12" x14ac:dyDescent="0.3">
      <c r="L1232" s="13"/>
    </row>
    <row r="1233" spans="12:12" x14ac:dyDescent="0.3">
      <c r="L1233" s="13"/>
    </row>
    <row r="1234" spans="12:12" x14ac:dyDescent="0.3">
      <c r="L1234" s="13"/>
    </row>
    <row r="1235" spans="12:12" x14ac:dyDescent="0.3">
      <c r="L1235" s="13"/>
    </row>
    <row r="1236" spans="12:12" x14ac:dyDescent="0.3">
      <c r="L1236" s="13"/>
    </row>
    <row r="1237" spans="12:12" x14ac:dyDescent="0.3">
      <c r="L1237" s="13"/>
    </row>
    <row r="1238" spans="12:12" x14ac:dyDescent="0.3">
      <c r="L1238" s="13"/>
    </row>
    <row r="1239" spans="12:12" x14ac:dyDescent="0.3">
      <c r="L1239" s="13"/>
    </row>
    <row r="1240" spans="12:12" x14ac:dyDescent="0.3">
      <c r="L1240" s="13"/>
    </row>
    <row r="1241" spans="12:12" x14ac:dyDescent="0.3">
      <c r="L1241" s="13"/>
    </row>
    <row r="1242" spans="12:12" x14ac:dyDescent="0.3">
      <c r="L1242" s="13"/>
    </row>
    <row r="1243" spans="12:12" x14ac:dyDescent="0.3">
      <c r="L1243" s="13"/>
    </row>
    <row r="1244" spans="12:12" x14ac:dyDescent="0.3">
      <c r="L1244" s="13"/>
    </row>
    <row r="1245" spans="12:12" x14ac:dyDescent="0.3">
      <c r="L1245" s="13"/>
    </row>
    <row r="1246" spans="12:12" x14ac:dyDescent="0.3">
      <c r="L1246" s="13"/>
    </row>
    <row r="1247" spans="12:12" x14ac:dyDescent="0.3">
      <c r="L1247" s="13"/>
    </row>
    <row r="1248" spans="12:12" x14ac:dyDescent="0.3">
      <c r="L1248" s="13"/>
    </row>
    <row r="1249" spans="12:12" x14ac:dyDescent="0.3">
      <c r="L1249" s="13"/>
    </row>
    <row r="1250" spans="12:12" x14ac:dyDescent="0.3">
      <c r="L1250" s="13"/>
    </row>
    <row r="1251" spans="12:12" x14ac:dyDescent="0.3">
      <c r="L1251" s="13"/>
    </row>
    <row r="1252" spans="12:12" x14ac:dyDescent="0.3">
      <c r="L1252" s="13"/>
    </row>
    <row r="1253" spans="12:12" x14ac:dyDescent="0.3">
      <c r="L1253" s="13"/>
    </row>
    <row r="1254" spans="12:12" x14ac:dyDescent="0.3">
      <c r="L1254" s="13"/>
    </row>
    <row r="1255" spans="12:12" x14ac:dyDescent="0.3">
      <c r="L1255" s="13"/>
    </row>
    <row r="1256" spans="12:12" x14ac:dyDescent="0.3">
      <c r="L1256" s="13"/>
    </row>
    <row r="1257" spans="12:12" x14ac:dyDescent="0.3">
      <c r="L1257" s="13"/>
    </row>
    <row r="1258" spans="12:12" x14ac:dyDescent="0.3">
      <c r="L1258" s="13"/>
    </row>
    <row r="1259" spans="12:12" x14ac:dyDescent="0.3">
      <c r="L1259" s="13"/>
    </row>
    <row r="1260" spans="12:12" x14ac:dyDescent="0.3">
      <c r="L1260" s="13"/>
    </row>
    <row r="1261" spans="12:12" x14ac:dyDescent="0.3">
      <c r="L1261" s="13"/>
    </row>
    <row r="1262" spans="12:12" x14ac:dyDescent="0.3">
      <c r="L1262" s="13"/>
    </row>
    <row r="1263" spans="12:12" x14ac:dyDescent="0.3">
      <c r="L1263" s="13"/>
    </row>
    <row r="1264" spans="12:12" x14ac:dyDescent="0.3">
      <c r="L1264" s="13"/>
    </row>
    <row r="1265" spans="12:12" x14ac:dyDescent="0.3">
      <c r="L1265" s="13"/>
    </row>
    <row r="1266" spans="12:12" x14ac:dyDescent="0.3">
      <c r="L1266" s="13"/>
    </row>
    <row r="1267" spans="12:12" x14ac:dyDescent="0.3">
      <c r="L1267" s="13"/>
    </row>
    <row r="1268" spans="12:12" x14ac:dyDescent="0.3">
      <c r="L1268" s="13"/>
    </row>
    <row r="1269" spans="12:12" x14ac:dyDescent="0.3">
      <c r="L1269" s="13"/>
    </row>
    <row r="1270" spans="12:12" x14ac:dyDescent="0.3">
      <c r="L1270" s="13"/>
    </row>
    <row r="1271" spans="12:12" x14ac:dyDescent="0.3">
      <c r="L1271" s="13"/>
    </row>
    <row r="1272" spans="12:12" x14ac:dyDescent="0.3">
      <c r="L1272" s="13"/>
    </row>
    <row r="1273" spans="12:12" x14ac:dyDescent="0.3">
      <c r="L1273" s="13"/>
    </row>
    <row r="1274" spans="12:12" x14ac:dyDescent="0.3">
      <c r="L1274" s="13"/>
    </row>
    <row r="1275" spans="12:12" x14ac:dyDescent="0.3">
      <c r="L1275" s="13"/>
    </row>
    <row r="1276" spans="12:12" x14ac:dyDescent="0.3">
      <c r="L1276" s="13"/>
    </row>
    <row r="1277" spans="12:12" x14ac:dyDescent="0.3">
      <c r="L1277" s="13"/>
    </row>
    <row r="1278" spans="12:12" x14ac:dyDescent="0.3">
      <c r="L1278" s="13"/>
    </row>
    <row r="1279" spans="12:12" x14ac:dyDescent="0.3">
      <c r="L1279" s="13"/>
    </row>
    <row r="1280" spans="12:12" x14ac:dyDescent="0.3">
      <c r="L1280" s="13"/>
    </row>
    <row r="1281" spans="12:12" x14ac:dyDescent="0.3">
      <c r="L1281" s="13"/>
    </row>
    <row r="1282" spans="12:12" x14ac:dyDescent="0.3">
      <c r="L1282" s="13"/>
    </row>
    <row r="1283" spans="12:12" x14ac:dyDescent="0.3">
      <c r="L1283" s="13"/>
    </row>
    <row r="1284" spans="12:12" x14ac:dyDescent="0.3">
      <c r="L1284" s="13"/>
    </row>
    <row r="1285" spans="12:12" x14ac:dyDescent="0.3">
      <c r="L1285" s="13"/>
    </row>
    <row r="1286" spans="12:12" x14ac:dyDescent="0.3">
      <c r="L1286" s="13"/>
    </row>
    <row r="1287" spans="12:12" x14ac:dyDescent="0.3">
      <c r="L1287" s="13"/>
    </row>
    <row r="1288" spans="12:12" x14ac:dyDescent="0.3">
      <c r="L1288" s="13"/>
    </row>
    <row r="1289" spans="12:12" x14ac:dyDescent="0.3">
      <c r="L1289" s="13"/>
    </row>
    <row r="1290" spans="12:12" x14ac:dyDescent="0.3">
      <c r="L1290" s="13"/>
    </row>
    <row r="1291" spans="12:12" x14ac:dyDescent="0.3">
      <c r="L1291" s="13"/>
    </row>
    <row r="1292" spans="12:12" x14ac:dyDescent="0.3">
      <c r="L1292" s="13"/>
    </row>
    <row r="1293" spans="12:12" x14ac:dyDescent="0.3">
      <c r="L1293" s="13"/>
    </row>
    <row r="1294" spans="12:12" x14ac:dyDescent="0.3">
      <c r="L1294" s="13"/>
    </row>
    <row r="1295" spans="12:12" x14ac:dyDescent="0.3">
      <c r="L1295" s="13"/>
    </row>
    <row r="1296" spans="12:12" x14ac:dyDescent="0.3">
      <c r="L1296" s="13"/>
    </row>
    <row r="1297" spans="12:12" x14ac:dyDescent="0.3">
      <c r="L1297" s="13"/>
    </row>
    <row r="1298" spans="12:12" x14ac:dyDescent="0.3">
      <c r="L1298" s="13"/>
    </row>
    <row r="1299" spans="12:12" x14ac:dyDescent="0.3">
      <c r="L1299" s="13"/>
    </row>
    <row r="1300" spans="12:12" x14ac:dyDescent="0.3">
      <c r="L1300" s="13"/>
    </row>
    <row r="1301" spans="12:12" x14ac:dyDescent="0.3">
      <c r="L1301" s="13"/>
    </row>
    <row r="1302" spans="12:12" x14ac:dyDescent="0.3">
      <c r="L1302" s="13"/>
    </row>
    <row r="1303" spans="12:12" x14ac:dyDescent="0.3">
      <c r="L1303" s="13"/>
    </row>
    <row r="1304" spans="12:12" x14ac:dyDescent="0.3">
      <c r="L1304" s="13"/>
    </row>
    <row r="1305" spans="12:12" x14ac:dyDescent="0.3">
      <c r="L1305" s="13"/>
    </row>
    <row r="1306" spans="12:12" x14ac:dyDescent="0.3">
      <c r="L1306" s="13"/>
    </row>
    <row r="1307" spans="12:12" x14ac:dyDescent="0.3">
      <c r="L1307" s="13"/>
    </row>
    <row r="1308" spans="12:12" x14ac:dyDescent="0.3">
      <c r="L1308" s="13"/>
    </row>
    <row r="1309" spans="12:12" x14ac:dyDescent="0.3">
      <c r="L1309" s="13"/>
    </row>
    <row r="1310" spans="12:12" x14ac:dyDescent="0.3">
      <c r="L1310" s="13"/>
    </row>
    <row r="1311" spans="12:12" x14ac:dyDescent="0.3">
      <c r="L1311" s="13"/>
    </row>
    <row r="1312" spans="12:12" x14ac:dyDescent="0.3">
      <c r="L1312" s="13"/>
    </row>
    <row r="1313" spans="12:12" x14ac:dyDescent="0.3">
      <c r="L1313" s="13"/>
    </row>
    <row r="1314" spans="12:12" x14ac:dyDescent="0.3">
      <c r="L1314" s="13"/>
    </row>
    <row r="1315" spans="12:12" x14ac:dyDescent="0.3">
      <c r="L1315" s="13"/>
    </row>
    <row r="1316" spans="12:12" x14ac:dyDescent="0.3">
      <c r="L1316" s="13"/>
    </row>
    <row r="1317" spans="12:12" x14ac:dyDescent="0.3">
      <c r="L1317" s="13"/>
    </row>
    <row r="1318" spans="12:12" x14ac:dyDescent="0.3">
      <c r="L1318" s="13"/>
    </row>
    <row r="1319" spans="12:12" x14ac:dyDescent="0.3">
      <c r="L1319" s="13"/>
    </row>
    <row r="1320" spans="12:12" x14ac:dyDescent="0.3">
      <c r="L1320" s="13"/>
    </row>
    <row r="1321" spans="12:12" x14ac:dyDescent="0.3">
      <c r="L1321" s="13"/>
    </row>
    <row r="1322" spans="12:12" x14ac:dyDescent="0.3">
      <c r="L1322" s="13"/>
    </row>
    <row r="1323" spans="12:12" x14ac:dyDescent="0.3">
      <c r="L1323" s="13"/>
    </row>
    <row r="1324" spans="12:12" x14ac:dyDescent="0.3">
      <c r="L1324" s="13"/>
    </row>
    <row r="1325" spans="12:12" x14ac:dyDescent="0.3">
      <c r="L1325" s="13"/>
    </row>
    <row r="1326" spans="12:12" x14ac:dyDescent="0.3">
      <c r="L1326" s="13"/>
    </row>
    <row r="1327" spans="12:12" x14ac:dyDescent="0.3">
      <c r="L1327" s="13"/>
    </row>
    <row r="1328" spans="12:12" x14ac:dyDescent="0.3">
      <c r="L1328" s="13"/>
    </row>
    <row r="1329" spans="12:12" x14ac:dyDescent="0.3">
      <c r="L1329" s="13"/>
    </row>
    <row r="1330" spans="12:12" x14ac:dyDescent="0.3">
      <c r="L1330" s="13"/>
    </row>
    <row r="1331" spans="12:12" x14ac:dyDescent="0.3">
      <c r="L1331" s="13"/>
    </row>
    <row r="1332" spans="12:12" x14ac:dyDescent="0.3">
      <c r="L1332" s="13"/>
    </row>
    <row r="1333" spans="12:12" x14ac:dyDescent="0.3">
      <c r="L1333" s="13"/>
    </row>
    <row r="1334" spans="12:12" x14ac:dyDescent="0.3">
      <c r="L1334" s="13"/>
    </row>
    <row r="1335" spans="12:12" x14ac:dyDescent="0.3">
      <c r="L1335" s="13"/>
    </row>
    <row r="1336" spans="12:12" x14ac:dyDescent="0.3">
      <c r="L1336" s="13"/>
    </row>
    <row r="1337" spans="12:12" x14ac:dyDescent="0.3">
      <c r="L1337" s="13"/>
    </row>
    <row r="1338" spans="12:12" x14ac:dyDescent="0.3">
      <c r="L1338" s="13"/>
    </row>
    <row r="1339" spans="12:12" x14ac:dyDescent="0.3">
      <c r="L1339" s="13"/>
    </row>
    <row r="1340" spans="12:12" x14ac:dyDescent="0.3">
      <c r="L1340" s="13"/>
    </row>
    <row r="1341" spans="12:12" x14ac:dyDescent="0.3">
      <c r="L1341" s="13"/>
    </row>
    <row r="1342" spans="12:12" x14ac:dyDescent="0.3">
      <c r="L1342" s="13"/>
    </row>
    <row r="1343" spans="12:12" x14ac:dyDescent="0.3">
      <c r="L1343" s="13"/>
    </row>
    <row r="1344" spans="12:12" x14ac:dyDescent="0.3">
      <c r="L1344" s="13"/>
    </row>
    <row r="1345" spans="12:12" x14ac:dyDescent="0.3">
      <c r="L1345" s="13"/>
    </row>
    <row r="1346" spans="12:12" x14ac:dyDescent="0.3">
      <c r="L1346" s="13"/>
    </row>
    <row r="1347" spans="12:12" x14ac:dyDescent="0.3">
      <c r="L1347" s="13"/>
    </row>
    <row r="1348" spans="12:12" x14ac:dyDescent="0.3">
      <c r="L1348" s="13"/>
    </row>
    <row r="1349" spans="12:12" x14ac:dyDescent="0.3">
      <c r="L1349" s="13"/>
    </row>
    <row r="1350" spans="12:12" x14ac:dyDescent="0.3">
      <c r="L1350" s="13"/>
    </row>
    <row r="1351" spans="12:12" x14ac:dyDescent="0.3">
      <c r="L1351" s="13"/>
    </row>
    <row r="1352" spans="12:12" x14ac:dyDescent="0.3">
      <c r="L1352" s="13"/>
    </row>
    <row r="1353" spans="12:12" x14ac:dyDescent="0.3">
      <c r="L1353" s="13"/>
    </row>
    <row r="1354" spans="12:12" x14ac:dyDescent="0.3">
      <c r="L1354" s="13"/>
    </row>
    <row r="1355" spans="12:12" x14ac:dyDescent="0.3">
      <c r="L1355" s="13"/>
    </row>
    <row r="1356" spans="12:12" x14ac:dyDescent="0.3">
      <c r="L1356" s="13"/>
    </row>
    <row r="1357" spans="12:12" x14ac:dyDescent="0.3">
      <c r="L1357" s="13"/>
    </row>
    <row r="1358" spans="12:12" x14ac:dyDescent="0.3">
      <c r="L1358" s="13"/>
    </row>
    <row r="1359" spans="12:12" x14ac:dyDescent="0.3">
      <c r="L1359" s="13"/>
    </row>
    <row r="1360" spans="12:12" x14ac:dyDescent="0.3">
      <c r="L1360" s="13"/>
    </row>
    <row r="1361" spans="12:12" x14ac:dyDescent="0.3">
      <c r="L1361" s="13"/>
    </row>
    <row r="1362" spans="12:12" x14ac:dyDescent="0.3">
      <c r="L1362" s="13"/>
    </row>
    <row r="1363" spans="12:12" x14ac:dyDescent="0.3">
      <c r="L1363" s="13"/>
    </row>
    <row r="1364" spans="12:12" x14ac:dyDescent="0.3">
      <c r="L1364" s="13"/>
    </row>
    <row r="1365" spans="12:12" x14ac:dyDescent="0.3">
      <c r="L1365" s="13"/>
    </row>
    <row r="1366" spans="12:12" x14ac:dyDescent="0.3">
      <c r="L1366" s="13"/>
    </row>
    <row r="1367" spans="12:12" x14ac:dyDescent="0.3">
      <c r="L1367" s="13"/>
    </row>
    <row r="1368" spans="12:12" x14ac:dyDescent="0.3">
      <c r="L1368" s="13"/>
    </row>
    <row r="1369" spans="12:12" x14ac:dyDescent="0.3">
      <c r="L1369" s="13"/>
    </row>
    <row r="1370" spans="12:12" x14ac:dyDescent="0.3">
      <c r="L1370" s="13"/>
    </row>
    <row r="1371" spans="12:12" x14ac:dyDescent="0.3">
      <c r="L1371" s="13"/>
    </row>
    <row r="1372" spans="12:12" x14ac:dyDescent="0.3">
      <c r="L1372" s="13"/>
    </row>
    <row r="1373" spans="12:12" x14ac:dyDescent="0.3">
      <c r="L1373" s="13"/>
    </row>
    <row r="1374" spans="12:12" x14ac:dyDescent="0.3">
      <c r="L1374" s="13"/>
    </row>
    <row r="1375" spans="12:12" x14ac:dyDescent="0.3">
      <c r="L1375" s="13"/>
    </row>
    <row r="1376" spans="12:12" x14ac:dyDescent="0.3">
      <c r="L1376" s="13"/>
    </row>
    <row r="1377" spans="12:12" x14ac:dyDescent="0.3">
      <c r="L1377" s="13"/>
    </row>
    <row r="1378" spans="12:12" x14ac:dyDescent="0.3">
      <c r="L1378" s="13"/>
    </row>
    <row r="1379" spans="12:12" x14ac:dyDescent="0.3">
      <c r="L1379" s="13"/>
    </row>
    <row r="1380" spans="12:12" x14ac:dyDescent="0.3">
      <c r="L1380" s="13"/>
    </row>
    <row r="1381" spans="12:12" x14ac:dyDescent="0.3">
      <c r="L1381" s="13"/>
    </row>
    <row r="1382" spans="12:12" x14ac:dyDescent="0.3">
      <c r="L1382" s="13"/>
    </row>
    <row r="1383" spans="12:12" x14ac:dyDescent="0.3">
      <c r="L1383" s="13"/>
    </row>
    <row r="1384" spans="12:12" x14ac:dyDescent="0.3">
      <c r="L1384" s="13"/>
    </row>
    <row r="1385" spans="12:12" x14ac:dyDescent="0.3">
      <c r="L1385" s="13"/>
    </row>
    <row r="1386" spans="12:12" x14ac:dyDescent="0.3">
      <c r="L1386" s="13"/>
    </row>
    <row r="1387" spans="12:12" x14ac:dyDescent="0.3">
      <c r="L1387" s="13"/>
    </row>
    <row r="1388" spans="12:12" x14ac:dyDescent="0.3">
      <c r="L1388" s="13"/>
    </row>
    <row r="1389" spans="12:12" x14ac:dyDescent="0.3">
      <c r="L1389" s="13"/>
    </row>
    <row r="1390" spans="12:12" x14ac:dyDescent="0.3">
      <c r="L1390" s="13"/>
    </row>
    <row r="1391" spans="12:12" x14ac:dyDescent="0.3">
      <c r="L1391" s="13"/>
    </row>
    <row r="1392" spans="12:12" x14ac:dyDescent="0.3">
      <c r="L1392" s="13"/>
    </row>
  </sheetData>
  <mergeCells count="3">
    <mergeCell ref="A1:D1"/>
    <mergeCell ref="F1:I1"/>
    <mergeCell ref="N1:Q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5DD0B-6AEB-4589-8AE7-A9DE4DE431A0}">
  <sheetPr codeName="Sheet2"/>
  <dimension ref="A1:Q34"/>
  <sheetViews>
    <sheetView zoomScale="85" zoomScaleNormal="85" workbookViewId="0">
      <selection activeCell="S13" sqref="S13"/>
    </sheetView>
  </sheetViews>
  <sheetFormatPr defaultRowHeight="14.4" x14ac:dyDescent="0.3"/>
  <cols>
    <col min="1" max="1" width="10.77734375" bestFit="1" customWidth="1"/>
    <col min="2" max="2" width="15.44140625" customWidth="1"/>
    <col min="3" max="3" width="9.44140625" bestFit="1" customWidth="1"/>
    <col min="4" max="4" width="16.21875" customWidth="1"/>
    <col min="5" max="5" width="16.33203125" bestFit="1" customWidth="1"/>
  </cols>
  <sheetData>
    <row r="1" spans="1:17" x14ac:dyDescent="0.3">
      <c r="A1" t="s">
        <v>2</v>
      </c>
      <c r="B1">
        <f>Dashboard!X58</f>
        <v>2025</v>
      </c>
    </row>
    <row r="2" spans="1:17" x14ac:dyDescent="0.3">
      <c r="A2" s="28" t="s">
        <v>4</v>
      </c>
      <c r="B2" s="28"/>
      <c r="C2" s="28"/>
      <c r="D2" s="28"/>
      <c r="E2" s="28"/>
      <c r="F2" s="28"/>
      <c r="G2" s="28"/>
      <c r="H2" s="12"/>
      <c r="I2" s="12"/>
      <c r="J2" s="12"/>
      <c r="K2" s="28" t="s">
        <v>18</v>
      </c>
      <c r="L2" s="28"/>
      <c r="M2" s="28"/>
      <c r="N2" s="28"/>
      <c r="O2" s="28"/>
      <c r="P2" s="28"/>
      <c r="Q2" s="28"/>
    </row>
    <row r="3" spans="1:17" x14ac:dyDescent="0.3">
      <c r="A3" t="s">
        <v>10</v>
      </c>
      <c r="B3" t="s">
        <v>11</v>
      </c>
      <c r="C3" t="s">
        <v>8</v>
      </c>
      <c r="E3" s="28" t="s">
        <v>6</v>
      </c>
      <c r="F3" s="28"/>
      <c r="G3" s="28"/>
      <c r="K3" t="s">
        <v>10</v>
      </c>
      <c r="L3" s="9" t="s">
        <v>17</v>
      </c>
      <c r="M3" t="s">
        <v>8</v>
      </c>
      <c r="O3" t="s">
        <v>0</v>
      </c>
      <c r="P3" t="s">
        <v>17</v>
      </c>
      <c r="Q3" t="s">
        <v>8</v>
      </c>
    </row>
    <row r="4" spans="1:17" x14ac:dyDescent="0.3">
      <c r="A4">
        <v>2020</v>
      </c>
      <c r="B4" s="26">
        <f t="shared" ref="B4:B9" si="0">AVERAGEIF(REF_ANO,A4,SELIC_A.A)</f>
        <v>2.891159158333334E-2</v>
      </c>
      <c r="C4" s="25">
        <v>0</v>
      </c>
      <c r="E4" t="s">
        <v>9</v>
      </c>
      <c r="F4" t="s">
        <v>12</v>
      </c>
      <c r="G4" t="s">
        <v>8</v>
      </c>
      <c r="K4">
        <v>2020</v>
      </c>
      <c r="L4" s="20">
        <f>AVERAGEIF('STP-20250718085233094'!Q3:Q68,K4,'STP-20250718085233094'!O3:O68)</f>
        <v>5.1558397070602506</v>
      </c>
      <c r="M4" s="20">
        <v>0</v>
      </c>
      <c r="O4" s="5" cm="1">
        <f t="array" ref="O4:Q9">_xlfn._xlws.FILTER('STP-20250718085233094'!N3:P68,'STP-20250718085233094'!Q3:Q68=DADOS!B1)</f>
        <v>45658</v>
      </c>
      <c r="P4" s="20">
        <v>6.0217727272727268</v>
      </c>
      <c r="Q4" s="20">
        <v>-7.5255844155845075E-2</v>
      </c>
    </row>
    <row r="5" spans="1:17" x14ac:dyDescent="0.3">
      <c r="A5">
        <v>2021</v>
      </c>
      <c r="B5" s="26">
        <f t="shared" si="0"/>
        <v>4.5218189964166662E-2</v>
      </c>
      <c r="C5" s="25">
        <f>B5-B4</f>
        <v>1.6306598380833322E-2</v>
      </c>
      <c r="E5" s="5" cm="1">
        <f t="array" ref="E5:G10">IFERROR(_xlfn._xlws.FILTER('STP-20250718085233094'!A3:C68,REF_ANO=Dashboard!X58),A4:B9)</f>
        <v>45658</v>
      </c>
      <c r="F5" s="10">
        <v>0.1231451613</v>
      </c>
      <c r="G5" s="10">
        <v>4.1935483999999967E-3</v>
      </c>
      <c r="K5">
        <v>2021</v>
      </c>
      <c r="L5" s="20">
        <f>AVERAGEIF('STP-20250718085233094'!Q4:Q69,K5,'STP-20250718085233094'!O4:O69)</f>
        <v>5.3950273902586945</v>
      </c>
      <c r="M5" s="20">
        <f>L5-L4</f>
        <v>0.23918768319844386</v>
      </c>
      <c r="O5" s="5">
        <v>45689</v>
      </c>
      <c r="P5" s="20">
        <v>5.7656450000000001</v>
      </c>
      <c r="Q5" s="20">
        <v>-0.2561277272727267</v>
      </c>
    </row>
    <row r="6" spans="1:17" x14ac:dyDescent="0.3">
      <c r="A6">
        <v>2022</v>
      </c>
      <c r="B6" s="26">
        <f t="shared" si="0"/>
        <v>0.12537442395833331</v>
      </c>
      <c r="C6" s="25">
        <f t="shared" ref="C6:C9" si="1">B6-B5</f>
        <v>8.0156233994166659E-2</v>
      </c>
      <c r="E6" s="5">
        <v>45689</v>
      </c>
      <c r="F6" s="10">
        <v>0.13250000000000001</v>
      </c>
      <c r="G6" s="10">
        <v>9.3548387000000066E-3</v>
      </c>
      <c r="K6">
        <v>2022</v>
      </c>
      <c r="L6" s="20">
        <f>AVERAGEIF('STP-20250718085233094'!Q5:Q70,K6,'STP-20250718085233094'!O5:O70)</f>
        <v>5.1647531822391954</v>
      </c>
      <c r="M6" s="20">
        <f>L6-L5</f>
        <v>-0.23027420801949905</v>
      </c>
      <c r="O6" s="5">
        <v>45717</v>
      </c>
      <c r="P6" s="20">
        <v>5.7468105263157891</v>
      </c>
      <c r="Q6" s="20">
        <v>-1.8834473684210984E-2</v>
      </c>
    </row>
    <row r="7" spans="1:17" x14ac:dyDescent="0.3">
      <c r="A7">
        <v>2023</v>
      </c>
      <c r="B7" s="26">
        <f t="shared" si="0"/>
        <v>0.13299327956666665</v>
      </c>
      <c r="C7" s="25">
        <f t="shared" si="1"/>
        <v>7.6188556083333359E-3</v>
      </c>
      <c r="E7" s="5">
        <v>45717</v>
      </c>
      <c r="F7" s="10">
        <v>0.13637096769999998</v>
      </c>
      <c r="G7" s="10">
        <v>3.8709676999999776E-3</v>
      </c>
      <c r="K7">
        <v>2023</v>
      </c>
      <c r="L7" s="20">
        <f>AVERAGEIF('STP-20250718085233094'!Q6:Q71,K7,'STP-20250718085233094'!O6:O71)</f>
        <v>4.9949802174174449</v>
      </c>
      <c r="M7" s="20">
        <f>L7-L6</f>
        <v>-0.16977296482175053</v>
      </c>
      <c r="O7" s="5">
        <v>45748</v>
      </c>
      <c r="P7" s="20">
        <v>5.7836749999999997</v>
      </c>
      <c r="Q7" s="20">
        <v>3.686447368421053E-2</v>
      </c>
    </row>
    <row r="8" spans="1:17" x14ac:dyDescent="0.3">
      <c r="A8">
        <v>2024</v>
      </c>
      <c r="B8" s="26">
        <f t="shared" si="0"/>
        <v>0.10940188172499998</v>
      </c>
      <c r="C8" s="25">
        <f t="shared" si="1"/>
        <v>-2.3591397841666667E-2</v>
      </c>
      <c r="E8" s="5">
        <v>45748</v>
      </c>
      <c r="F8" s="10">
        <v>0.14249999999999999</v>
      </c>
      <c r="G8" s="10">
        <v>6.1290323000000035E-3</v>
      </c>
      <c r="K8">
        <v>2024</v>
      </c>
      <c r="L8" s="20">
        <f>AVERAGEIF('STP-20250718085233094'!Q7:Q72,K8,'STP-20250718085233094'!O7:O72)</f>
        <v>5.3895384410631317</v>
      </c>
      <c r="M8" s="20">
        <f>L8-L7</f>
        <v>0.39455822364568682</v>
      </c>
      <c r="O8" s="5">
        <v>45778</v>
      </c>
      <c r="P8" s="20">
        <v>5.6673857142857145</v>
      </c>
      <c r="Q8" s="20">
        <v>-0.11628928571428521</v>
      </c>
    </row>
    <row r="9" spans="1:17" x14ac:dyDescent="0.3">
      <c r="A9">
        <v>2025</v>
      </c>
      <c r="B9" s="26">
        <f t="shared" si="0"/>
        <v>0.13823118278333332</v>
      </c>
      <c r="C9" s="25">
        <f t="shared" si="1"/>
        <v>2.882930105833334E-2</v>
      </c>
      <c r="E9" s="5">
        <v>45778</v>
      </c>
      <c r="F9" s="10">
        <v>0.14637096769999999</v>
      </c>
      <c r="G9" s="10">
        <v>3.8709677000000053E-3</v>
      </c>
      <c r="K9">
        <v>2025</v>
      </c>
      <c r="L9" s="20">
        <f>AVERAGEIF('STP-20250718085233094'!Q8:Q73,K9,'STP-20250718085233094'!O8:O73)</f>
        <v>5.7553906613123713</v>
      </c>
      <c r="M9" s="20">
        <f>L9-L8</f>
        <v>0.36585222024923958</v>
      </c>
      <c r="O9" s="5">
        <v>45809</v>
      </c>
      <c r="P9" s="20">
        <v>5.5470550000000003</v>
      </c>
      <c r="Q9" s="20">
        <v>-0.12033071428571418</v>
      </c>
    </row>
    <row r="10" spans="1:17" x14ac:dyDescent="0.3">
      <c r="A10" t="s">
        <v>39</v>
      </c>
      <c r="B10" s="10">
        <f>AVERAGE(B4:B9)</f>
        <v>9.6688424930138891E-2</v>
      </c>
      <c r="C10" s="10"/>
      <c r="E10" s="5">
        <v>45809</v>
      </c>
      <c r="F10" s="10">
        <v>0.14849999999999999</v>
      </c>
      <c r="G10" s="10">
        <v>2.1290323E-3</v>
      </c>
      <c r="K10" t="s">
        <v>39</v>
      </c>
      <c r="L10" s="32">
        <f>AVERAGE(L4:L9)</f>
        <v>5.3092549332251817</v>
      </c>
      <c r="O10" s="5"/>
      <c r="P10" s="20"/>
      <c r="Q10" s="20"/>
    </row>
    <row r="11" spans="1:17" x14ac:dyDescent="0.3">
      <c r="A11" s="1"/>
      <c r="E11" s="5"/>
      <c r="F11" s="10"/>
      <c r="G11" s="25"/>
      <c r="O11" s="5"/>
      <c r="P11" s="20"/>
      <c r="Q11" s="20"/>
    </row>
    <row r="12" spans="1:17" x14ac:dyDescent="0.3">
      <c r="A12" s="1"/>
      <c r="E12" s="5"/>
      <c r="F12" s="10"/>
      <c r="G12" s="25"/>
      <c r="K12" s="5"/>
      <c r="O12" s="5"/>
      <c r="P12" s="20"/>
      <c r="Q12" s="20"/>
    </row>
    <row r="13" spans="1:17" x14ac:dyDescent="0.3">
      <c r="A13" s="1"/>
      <c r="E13" s="5"/>
      <c r="F13" s="10"/>
      <c r="G13" s="25"/>
      <c r="K13" s="5"/>
      <c r="O13" s="5"/>
      <c r="P13" s="20"/>
      <c r="Q13" s="20"/>
    </row>
    <row r="14" spans="1:17" x14ac:dyDescent="0.3">
      <c r="A14" s="1"/>
      <c r="E14" s="5"/>
      <c r="F14" s="10"/>
      <c r="G14" s="25"/>
      <c r="K14" s="5"/>
      <c r="O14" s="5"/>
      <c r="P14" s="20"/>
      <c r="Q14" s="20"/>
    </row>
    <row r="15" spans="1:17" x14ac:dyDescent="0.3">
      <c r="A15" s="1"/>
      <c r="E15" s="5"/>
      <c r="F15" s="10"/>
      <c r="G15" s="25"/>
      <c r="K15" s="5"/>
      <c r="O15" s="5"/>
      <c r="P15" s="20"/>
      <c r="Q15" s="20"/>
    </row>
    <row r="16" spans="1:17" x14ac:dyDescent="0.3">
      <c r="A16" s="1"/>
      <c r="E16" s="5"/>
      <c r="F16" s="10"/>
      <c r="G16" s="25"/>
      <c r="O16" t="s">
        <v>39</v>
      </c>
      <c r="P16" s="32">
        <f>AVERAGE(P4:P15)</f>
        <v>5.7553906613123713</v>
      </c>
    </row>
    <row r="17" spans="1:11" x14ac:dyDescent="0.3">
      <c r="A17" s="1"/>
      <c r="E17" s="21" t="s">
        <v>38</v>
      </c>
      <c r="F17" s="23">
        <f>AVERAGE(F5:F16)</f>
        <v>0.13823118278333332</v>
      </c>
      <c r="G17" s="31">
        <f>AVERAGE(G5:G16)</f>
        <v>4.9247311833333319E-3</v>
      </c>
      <c r="K17" s="5"/>
    </row>
    <row r="18" spans="1:11" x14ac:dyDescent="0.3">
      <c r="A18" s="1"/>
      <c r="E18" s="22"/>
      <c r="F18" s="23"/>
      <c r="G18" s="24"/>
      <c r="K18" s="5"/>
    </row>
    <row r="19" spans="1:11" x14ac:dyDescent="0.3">
      <c r="A19" s="1"/>
      <c r="K19" s="5"/>
    </row>
    <row r="20" spans="1:11" x14ac:dyDescent="0.3">
      <c r="A20" s="28" t="s">
        <v>7</v>
      </c>
      <c r="B20" s="28"/>
      <c r="C20" s="28"/>
      <c r="D20" s="28"/>
      <c r="E20" s="28"/>
      <c r="F20" s="28"/>
      <c r="G20" s="28"/>
      <c r="K20" s="5"/>
    </row>
    <row r="21" spans="1:11" x14ac:dyDescent="0.3">
      <c r="A21" t="s">
        <v>10</v>
      </c>
      <c r="B21" s="3" t="s">
        <v>21</v>
      </c>
      <c r="C21" s="3" t="s">
        <v>8</v>
      </c>
      <c r="E21" s="4" t="s">
        <v>9</v>
      </c>
      <c r="F21" s="4" t="s">
        <v>20</v>
      </c>
      <c r="G21" s="4" t="s">
        <v>8</v>
      </c>
      <c r="K21" s="5"/>
    </row>
    <row r="22" spans="1:11" x14ac:dyDescent="0.3">
      <c r="A22">
        <v>2020</v>
      </c>
      <c r="B22" s="11">
        <f>AVERAGEIF('STP-20250718085233094'!I3:I68,A22,'STP-20250718085233094'!G3:G68)</f>
        <v>0.36999999999999994</v>
      </c>
      <c r="C22" s="9">
        <v>0</v>
      </c>
      <c r="E22" s="5" cm="1">
        <f t="array" ref="E22:G27">_xlfn._xlws.FILTER('STP-20250718085233094'!F3:H68,'STP-20250718085233094'!I3:I68=DADOS!B1)</f>
        <v>45658</v>
      </c>
      <c r="F22">
        <v>0.16</v>
      </c>
      <c r="G22">
        <v>-0.36</v>
      </c>
      <c r="K22" s="5"/>
    </row>
    <row r="23" spans="1:11" x14ac:dyDescent="0.3">
      <c r="A23">
        <v>2021</v>
      </c>
      <c r="B23" s="11">
        <f>AVERAGEIF('STP-20250718085233094'!I4:I69,A23,'STP-20250718085233094'!G4:G69)</f>
        <v>0.8025000000000001</v>
      </c>
      <c r="C23" s="11">
        <f>B23-B22</f>
        <v>0.43250000000000016</v>
      </c>
      <c r="E23" s="5">
        <v>45689</v>
      </c>
      <c r="F23">
        <v>1.31</v>
      </c>
      <c r="G23">
        <v>1.1500000000000001</v>
      </c>
      <c r="K23" s="5"/>
    </row>
    <row r="24" spans="1:11" x14ac:dyDescent="0.3">
      <c r="A24">
        <v>2022</v>
      </c>
      <c r="B24" s="11">
        <f>AVERAGEIF('STP-20250718085233094'!I5:I70,A24,'STP-20250718085233094'!G5:G70)</f>
        <v>0.47166666666666668</v>
      </c>
      <c r="C24" s="11">
        <f>B24-B23</f>
        <v>-0.33083333333333342</v>
      </c>
      <c r="E24" s="5">
        <v>45717</v>
      </c>
      <c r="F24">
        <v>0.56000000000000005</v>
      </c>
      <c r="G24">
        <v>-0.75</v>
      </c>
    </row>
    <row r="25" spans="1:11" x14ac:dyDescent="0.3">
      <c r="A25">
        <v>2023</v>
      </c>
      <c r="B25" s="11">
        <f>AVERAGEIF('STP-20250718085233094'!I6:I71,A25,'STP-20250718085233094'!G6:G71)</f>
        <v>0.37750000000000011</v>
      </c>
      <c r="C25" s="11">
        <f>B25-B24</f>
        <v>-9.4166666666666565E-2</v>
      </c>
      <c r="E25" s="5">
        <v>45748</v>
      </c>
      <c r="F25">
        <v>0.43</v>
      </c>
      <c r="G25">
        <v>-0.13000000000000006</v>
      </c>
    </row>
    <row r="26" spans="1:11" x14ac:dyDescent="0.3">
      <c r="A26">
        <v>2024</v>
      </c>
      <c r="B26" s="11">
        <f>AVERAGEIF('STP-20250718085233094'!I7:I72,A26,'STP-20250718085233094'!G7:G72)</f>
        <v>0.39416666666666672</v>
      </c>
      <c r="C26" s="11">
        <f>B26-B25</f>
        <v>1.6666666666666607E-2</v>
      </c>
      <c r="E26" s="5">
        <v>45778</v>
      </c>
      <c r="F26">
        <v>0.26</v>
      </c>
      <c r="G26">
        <v>-0.16999999999999998</v>
      </c>
    </row>
    <row r="27" spans="1:11" x14ac:dyDescent="0.3">
      <c r="A27">
        <v>2025</v>
      </c>
      <c r="B27" s="11">
        <f>AVERAGEIF('STP-20250718085233094'!I8:I73,A27,'STP-20250718085233094'!G8:G73)</f>
        <v>0.49333333333333346</v>
      </c>
      <c r="C27" s="11">
        <f>B27-B26</f>
        <v>9.9166666666666736E-2</v>
      </c>
      <c r="E27" s="5">
        <v>45809</v>
      </c>
      <c r="F27">
        <v>0.24</v>
      </c>
      <c r="G27">
        <v>-2.0000000000000018E-2</v>
      </c>
    </row>
    <row r="28" spans="1:11" x14ac:dyDescent="0.3">
      <c r="A28" t="s">
        <v>39</v>
      </c>
      <c r="B28" s="9">
        <f>AVERAGE(B22:B27)</f>
        <v>0.48486111111111119</v>
      </c>
      <c r="E28" s="5"/>
    </row>
    <row r="29" spans="1:11" x14ac:dyDescent="0.3">
      <c r="E29" s="5"/>
    </row>
    <row r="30" spans="1:11" x14ac:dyDescent="0.3">
      <c r="E30" s="5"/>
    </row>
    <row r="31" spans="1:11" x14ac:dyDescent="0.3">
      <c r="E31" s="5"/>
    </row>
    <row r="32" spans="1:11" x14ac:dyDescent="0.3">
      <c r="E32" s="5"/>
    </row>
    <row r="33" spans="5:6" x14ac:dyDescent="0.3">
      <c r="E33" s="5"/>
    </row>
    <row r="34" spans="5:6" x14ac:dyDescent="0.3">
      <c r="E34" t="s">
        <v>39</v>
      </c>
      <c r="F34" s="9">
        <f>AVERAGE(F22:F33)</f>
        <v>0.49333333333333346</v>
      </c>
    </row>
  </sheetData>
  <mergeCells count="4">
    <mergeCell ref="A20:G20"/>
    <mergeCell ref="E3:G3"/>
    <mergeCell ref="A2:G2"/>
    <mergeCell ref="K2:Q2"/>
  </mergeCells>
  <dataValidations count="1">
    <dataValidation type="list" allowBlank="1" showInputMessage="1" showErrorMessage="1" sqref="B1" xr:uid="{37BFFC41-C9E6-4773-BEB0-A0A688BF651D}">
      <formula1>"2020,2021,2022,2023,2024,2025"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9EBD3-044A-4278-81BD-611D56F85CD1}">
  <sheetPr codeName="Sheet3"/>
  <dimension ref="A1:BC119"/>
  <sheetViews>
    <sheetView tabSelected="1" topLeftCell="A13" zoomScale="40" zoomScaleNormal="40" workbookViewId="0">
      <selection activeCell="X59" sqref="X59"/>
    </sheetView>
  </sheetViews>
  <sheetFormatPr defaultRowHeight="14.4" x14ac:dyDescent="0.3"/>
  <cols>
    <col min="1" max="13" width="8.88671875" style="6"/>
    <col min="14" max="19" width="8.88671875" style="29"/>
    <col min="20" max="20" width="9.21875" style="29" customWidth="1"/>
    <col min="21" max="21" width="8.88671875" style="29" customWidth="1"/>
    <col min="22" max="16384" width="8.88671875" style="29"/>
  </cols>
  <sheetData>
    <row r="1" spans="1:55" s="6" customFormat="1" x14ac:dyDescent="0.3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H1" s="8" t="str">
        <f>"IPCA EVOLUTION - " &amp; DADOS!B1</f>
        <v>IPCA EVOLUTION - 2025</v>
      </c>
    </row>
    <row r="2" spans="1:55" s="6" customFormat="1" x14ac:dyDescent="0.3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7"/>
      <c r="AC2" s="7"/>
      <c r="AD2" s="7"/>
      <c r="AE2" s="7"/>
      <c r="AF2" s="7"/>
      <c r="AG2" s="7"/>
      <c r="AH2" s="8" t="str">
        <f>"DOLLAR EXCHANGE EVOLUTION - " &amp; DADOS!B1</f>
        <v>DOLLAR EXCHANGE EVOLUTION - 2025</v>
      </c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C2" s="6" t="str">
        <f>"SELIC EVOLUTION - " &amp; DADOS!B1</f>
        <v>SELIC EVOLUTION - 2025</v>
      </c>
    </row>
    <row r="3" spans="1:55" s="6" customFormat="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5" s="6" customFormat="1" x14ac:dyDescent="0.3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5" s="6" customFormat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</row>
    <row r="6" spans="1:55" s="6" customFormat="1" x14ac:dyDescent="0.3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5" s="6" customFormat="1" x14ac:dyDescent="0.3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5" s="6" customFormat="1" x14ac:dyDescent="0.3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5" s="6" customFormat="1" x14ac:dyDescent="0.3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5" s="6" customFormat="1" x14ac:dyDescent="0.3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5" s="6" customFormat="1" x14ac:dyDescent="0.3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5" s="6" customFormat="1" x14ac:dyDescent="0.3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5" s="6" customFormat="1" x14ac:dyDescent="0.3">
      <c r="A13" s="8"/>
      <c r="B13" s="8"/>
      <c r="C13" s="8"/>
      <c r="D13" s="8"/>
      <c r="E13" s="8"/>
      <c r="F13" s="8"/>
      <c r="G13" s="8"/>
      <c r="H13" s="30" t="s">
        <v>3</v>
      </c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5" s="6" customFormat="1" x14ac:dyDescent="0.3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5" s="6" customFormat="1" x14ac:dyDescent="0.3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5" s="6" customFormat="1" x14ac:dyDescent="0.3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1:53" s="6" customFormat="1" x14ac:dyDescent="0.3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 t="str">
        <f>"VARIACAO SELIC - "&amp;DADOS!B1</f>
        <v>VARIACAO SELIC - 2025</v>
      </c>
      <c r="Z17" s="8"/>
      <c r="AA17" s="8"/>
      <c r="AB17" s="8"/>
      <c r="AC17" s="8"/>
      <c r="AD17" s="8"/>
      <c r="AE17" s="8"/>
      <c r="AF17" s="8"/>
      <c r="AG17" s="8"/>
      <c r="AH17" s="8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1:53" s="6" customFormat="1" x14ac:dyDescent="0.3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1:53" s="6" customFormat="1" x14ac:dyDescent="0.3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1:53" s="6" customFormat="1" x14ac:dyDescent="0.3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1:53" s="6" customFormat="1" x14ac:dyDescent="0.3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1:53" s="6" customFormat="1" x14ac:dyDescent="0.3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1:53" s="6" customFormat="1" x14ac:dyDescent="0.3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1:53" s="6" customFormat="1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1:53" s="6" customFormat="1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1:53" s="6" customFormat="1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1:53" s="6" customFormat="1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1:53" s="6" customFormat="1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1:53" s="6" customFormat="1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1:53" s="6" customFormat="1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1:53" s="6" customFormat="1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1:53" s="6" customFormat="1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1:53" s="6" customFormat="1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1:53" s="6" customFormat="1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1:53" s="6" customFormat="1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1:53" s="6" customFormat="1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1:53" s="6" customFormat="1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1:53" s="6" customFormat="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1:53" s="6" customFormat="1" x14ac:dyDescent="0.3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1:53" s="6" customFormat="1" x14ac:dyDescent="0.3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1:53" s="6" customFormat="1" x14ac:dyDescent="0.3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1:53" s="6" customFormat="1" x14ac:dyDescent="0.3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1:53" s="6" customFormat="1" x14ac:dyDescent="0.3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1:53" s="6" customFormat="1" x14ac:dyDescent="0.3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1:53" s="6" customFormat="1" x14ac:dyDescent="0.3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1:53" s="6" customFormat="1" x14ac:dyDescent="0.3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1:53" s="6" customFormat="1" x14ac:dyDescent="0.3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1:53" s="6" customFormat="1" x14ac:dyDescent="0.3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1:53" s="6" customFormat="1" x14ac:dyDescent="0.3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1:53" s="6" customFormat="1" x14ac:dyDescent="0.3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1:53" s="6" customFormat="1" x14ac:dyDescent="0.3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1:53" s="6" customFormat="1" x14ac:dyDescent="0.3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1:53" s="6" customFormat="1" x14ac:dyDescent="0.3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1:53" s="6" customFormat="1" x14ac:dyDescent="0.3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1:53" s="6" customFormat="1" x14ac:dyDescent="0.3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1:53" s="6" customFormat="1" x14ac:dyDescent="0.3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1:53" s="6" customFormat="1" x14ac:dyDescent="0.3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1:53" s="6" customFormat="1" x14ac:dyDescent="0.3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>
        <v>2020</v>
      </c>
      <c r="V58" s="8"/>
      <c r="W58" s="8"/>
      <c r="X58" s="8">
        <v>2025</v>
      </c>
      <c r="Y58" s="8"/>
      <c r="Z58" s="8"/>
      <c r="AA58" s="8"/>
    </row>
    <row r="59" spans="1:53" s="6" customFormat="1" x14ac:dyDescent="0.3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</row>
    <row r="60" spans="1:53" s="6" customFormat="1" x14ac:dyDescent="0.3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</row>
    <row r="61" spans="1:53" s="6" customFormat="1" x14ac:dyDescent="0.3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</row>
    <row r="62" spans="1:53" s="6" customFormat="1" x14ac:dyDescent="0.3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</row>
    <row r="63" spans="1:53" s="6" customFormat="1" x14ac:dyDescent="0.3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</row>
    <row r="64" spans="1:53" s="6" customFormat="1" x14ac:dyDescent="0.3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</row>
    <row r="65" spans="1:27" s="6" customFormat="1" x14ac:dyDescent="0.3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</row>
    <row r="66" spans="1:27" s="6" customFormat="1" x14ac:dyDescent="0.3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</row>
    <row r="67" spans="1:27" s="6" customFormat="1" x14ac:dyDescent="0.3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</row>
    <row r="68" spans="1:27" s="6" customFormat="1" x14ac:dyDescent="0.3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</row>
    <row r="69" spans="1:27" s="6" customFormat="1" x14ac:dyDescent="0.3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</row>
    <row r="70" spans="1:27" s="6" customFormat="1" x14ac:dyDescent="0.3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</row>
    <row r="71" spans="1:27" s="6" customFormat="1" x14ac:dyDescent="0.3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</row>
    <row r="72" spans="1:27" s="6" customFormat="1" x14ac:dyDescent="0.3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</row>
    <row r="73" spans="1:27" s="6" customFormat="1" x14ac:dyDescent="0.3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</row>
    <row r="74" spans="1:27" s="6" customFormat="1" x14ac:dyDescent="0.3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</row>
    <row r="75" spans="1:27" s="6" customFormat="1" x14ac:dyDescent="0.3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</row>
    <row r="76" spans="1:27" s="6" customFormat="1" x14ac:dyDescent="0.3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</row>
    <row r="77" spans="1:27" s="6" customFormat="1" x14ac:dyDescent="0.3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</row>
    <row r="78" spans="1:27" s="6" customFormat="1" x14ac:dyDescent="0.3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</row>
    <row r="79" spans="1:27" s="6" customFormat="1" x14ac:dyDescent="0.3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</row>
    <row r="80" spans="1:27" s="6" customFormat="1" x14ac:dyDescent="0.3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</row>
    <row r="81" spans="1:27" s="6" customFormat="1" x14ac:dyDescent="0.3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</row>
    <row r="82" spans="1:27" s="6" customFormat="1" x14ac:dyDescent="0.3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</row>
    <row r="83" spans="1:27" x14ac:dyDescent="0.3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</row>
    <row r="84" spans="1:27" x14ac:dyDescent="0.3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</row>
    <row r="85" spans="1:27" x14ac:dyDescent="0.3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</row>
    <row r="86" spans="1:27" x14ac:dyDescent="0.3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 t="s">
        <v>33</v>
      </c>
      <c r="P86" s="8">
        <v>2020</v>
      </c>
      <c r="Q86" s="8"/>
      <c r="R86" s="8"/>
      <c r="S86" s="8"/>
      <c r="T86" s="8"/>
      <c r="U86" s="8" t="str" cm="1">
        <f t="array" ref="U86:V89">_xlfn._xlws.FILTER(O86:P109,P86:P109=ANO_REF)</f>
        <v>Investors uncertainty (late 2024 to present day)</v>
      </c>
      <c r="V86" s="8">
        <v>2025</v>
      </c>
      <c r="W86" s="8"/>
      <c r="X86" s="8"/>
      <c r="Y86" s="8"/>
      <c r="Z86" s="8"/>
      <c r="AA86" s="8"/>
    </row>
    <row r="87" spans="1:27" x14ac:dyDescent="0.3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 t="s">
        <v>22</v>
      </c>
      <c r="P87" s="8">
        <v>2020</v>
      </c>
      <c r="Q87" s="8"/>
      <c r="R87" s="8"/>
      <c r="S87" s="8"/>
      <c r="T87" s="8"/>
      <c r="U87" s="8" t="str">
        <v>1- Investors started selling Brazillian real assets to buy Dollar,  causing the dollar price rise</v>
      </c>
      <c r="V87" s="8">
        <v>2025</v>
      </c>
      <c r="W87" s="8"/>
      <c r="X87" s="8"/>
      <c r="Y87" s="8"/>
      <c r="Z87" s="8"/>
      <c r="AA87" s="8"/>
    </row>
    <row r="88" spans="1:27" x14ac:dyDescent="0.3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 t="s">
        <v>23</v>
      </c>
      <c r="P88" s="8">
        <v>2020</v>
      </c>
      <c r="Q88" s="8"/>
      <c r="R88" s="8"/>
      <c r="S88" s="8"/>
      <c r="T88" s="8"/>
      <c r="U88" s="8" t="str">
        <v>2-The increased supply of Brazillian reais from investors selling led to a new rise of IPCA.</v>
      </c>
      <c r="V88" s="8">
        <v>2025</v>
      </c>
      <c r="W88" s="8"/>
      <c r="X88" s="8"/>
      <c r="Y88" s="8"/>
      <c r="Z88" s="8"/>
      <c r="AA88" s="8"/>
    </row>
    <row r="89" spans="1:27" x14ac:dyDescent="0.3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 t="s">
        <v>24</v>
      </c>
      <c r="P89" s="8">
        <v>2020</v>
      </c>
      <c r="Q89" s="8"/>
      <c r="R89" s="8"/>
      <c r="S89" s="8"/>
      <c r="T89" s="8"/>
      <c r="U89" s="8" t="str">
        <v>3-BACEN had to rise Selic again to not only keep the country attractive to investors but also control the new surge in inflation/IPCA</v>
      </c>
      <c r="V89" s="8">
        <v>2025</v>
      </c>
      <c r="W89" s="8"/>
      <c r="X89" s="8"/>
      <c r="Y89" s="8"/>
      <c r="Z89" s="8"/>
      <c r="AA89" s="8"/>
    </row>
    <row r="90" spans="1:27" x14ac:dyDescent="0.3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 t="s">
        <v>31</v>
      </c>
      <c r="P90" s="8">
        <v>2021</v>
      </c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</row>
    <row r="91" spans="1:27" x14ac:dyDescent="0.3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 t="s">
        <v>36</v>
      </c>
      <c r="P91" s="8">
        <v>2021</v>
      </c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</row>
    <row r="92" spans="1:27" x14ac:dyDescent="0.3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 t="s">
        <v>37</v>
      </c>
      <c r="P92" s="8">
        <v>2021</v>
      </c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</row>
    <row r="93" spans="1:27" x14ac:dyDescent="0.3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 t="s">
        <v>35</v>
      </c>
      <c r="P93" s="8">
        <v>2021</v>
      </c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</row>
    <row r="94" spans="1:27" x14ac:dyDescent="0.3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 t="s">
        <v>31</v>
      </c>
      <c r="P94" s="8">
        <v>2022</v>
      </c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</row>
    <row r="95" spans="1:27" x14ac:dyDescent="0.3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 t="s">
        <v>36</v>
      </c>
      <c r="P95" s="8">
        <v>2022</v>
      </c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</row>
    <row r="96" spans="1:27" x14ac:dyDescent="0.3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 t="s">
        <v>37</v>
      </c>
      <c r="P96" s="8">
        <v>2022</v>
      </c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</row>
    <row r="97" spans="1:27" x14ac:dyDescent="0.3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 t="s">
        <v>35</v>
      </c>
      <c r="P97" s="8">
        <v>2022</v>
      </c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</row>
    <row r="98" spans="1:27" x14ac:dyDescent="0.3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 t="s">
        <v>31</v>
      </c>
      <c r="P98" s="8">
        <v>2023</v>
      </c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</row>
    <row r="99" spans="1:27" x14ac:dyDescent="0.3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 t="s">
        <v>36</v>
      </c>
      <c r="P99" s="8">
        <v>2023</v>
      </c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</row>
    <row r="100" spans="1:27" x14ac:dyDescent="0.3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 t="s">
        <v>37</v>
      </c>
      <c r="P100" s="8">
        <v>2023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</row>
    <row r="101" spans="1:27" x14ac:dyDescent="0.3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 t="s">
        <v>35</v>
      </c>
      <c r="P101" s="8">
        <v>2023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</row>
    <row r="102" spans="1:27" x14ac:dyDescent="0.3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 t="s">
        <v>32</v>
      </c>
      <c r="P102" s="8">
        <v>2024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</row>
    <row r="103" spans="1:27" x14ac:dyDescent="0.3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 t="s">
        <v>25</v>
      </c>
      <c r="P103" s="8">
        <v>2024</v>
      </c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</row>
    <row r="104" spans="1:27" x14ac:dyDescent="0.3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 t="s">
        <v>26</v>
      </c>
      <c r="P104" s="8">
        <v>2024</v>
      </c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</row>
    <row r="105" spans="1:27" x14ac:dyDescent="0.3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 t="s">
        <v>27</v>
      </c>
      <c r="P105" s="8">
        <v>2024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</row>
    <row r="106" spans="1:27" x14ac:dyDescent="0.3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 t="s">
        <v>34</v>
      </c>
      <c r="P106" s="8">
        <v>2025</v>
      </c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</row>
    <row r="107" spans="1:27" x14ac:dyDescent="0.3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 t="s">
        <v>28</v>
      </c>
      <c r="P107" s="8">
        <v>2025</v>
      </c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</row>
    <row r="108" spans="1:27" x14ac:dyDescent="0.3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 t="s">
        <v>29</v>
      </c>
      <c r="P108" s="8">
        <v>2025</v>
      </c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</row>
    <row r="109" spans="1:27" x14ac:dyDescent="0.3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 t="s">
        <v>30</v>
      </c>
      <c r="P109" s="8">
        <v>2025</v>
      </c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</row>
    <row r="110" spans="1:27" x14ac:dyDescent="0.3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</row>
    <row r="117" spans="15:15" x14ac:dyDescent="0.3">
      <c r="O117" s="29" t="str">
        <f>IF(O86 = ANO_REF,O87,"")</f>
        <v/>
      </c>
    </row>
    <row r="118" spans="15:15" x14ac:dyDescent="0.3">
      <c r="O118" s="29" t="str">
        <f>IF(O86 = ANO_REF,O88,"")</f>
        <v/>
      </c>
    </row>
    <row r="119" spans="15:15" x14ac:dyDescent="0.3">
      <c r="O119" s="29" t="str">
        <f>IF(O86 = ANO_REF,O89,"")</f>
        <v/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8F499D-2C74-4498-9F1D-9B9F9CA1AE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STP-20250718085233094</vt:lpstr>
      <vt:lpstr>DADOS</vt:lpstr>
      <vt:lpstr>Dashboard</vt:lpstr>
      <vt:lpstr>ANO_REF</vt:lpstr>
      <vt:lpstr>REF</vt:lpstr>
      <vt:lpstr>REF_ANO</vt:lpstr>
      <vt:lpstr>SELIC_A.A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Vinicius</dc:creator>
  <cp:lastModifiedBy>Marcos Vinicius</cp:lastModifiedBy>
  <dcterms:created xsi:type="dcterms:W3CDTF">2025-07-18T20:53:06Z</dcterms:created>
  <dcterms:modified xsi:type="dcterms:W3CDTF">2025-07-24T22:42:37Z</dcterms:modified>
</cp:coreProperties>
</file>